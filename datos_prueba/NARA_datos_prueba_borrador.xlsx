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ame" state="visible" r:id="rId4"/>
    <sheet sheetId="2" name="Matriz" state="visible" r:id="rId5"/>
    <sheet sheetId="3" name="Reglas" state="visible" r:id="rId6"/>
    <sheet sheetId="4" name="Territorios" state="visible" r:id="rId7"/>
    <sheet sheetId="5" name="Usuarios" state="visible" r:id="rId8"/>
    <sheet sheetId="6" name="Pacientes" state="visible" r:id="rId9"/>
    <sheet sheetId="7" name="Flujo" state="visible" r:id="rId10"/>
    <sheet sheetId="8" name="Rutas" state="visible" r:id="rId11"/>
    <sheet sheetId="9" name="Cambios de ruta" state="visible" r:id="rId12"/>
    <sheet sheetId="10" name="Activos" state="visible" r:id="rId13"/>
    <sheet sheetId="11" name="Asignaciones" state="visible" r:id="rId14"/>
    <sheet sheetId="12" name="Validación" state="visible" r:id="rId15"/>
    <sheet sheetId="13" name="Mapeo Mongo" state="visible" r:id="rId16"/>
  </sheets>
  <calcPr calcId="171027"/>
</workbook>
</file>

<file path=xl/sharedStrings.xml><?xml version="1.0" encoding="utf-8"?>
<sst xmlns="http://schemas.openxmlformats.org/spreadsheetml/2006/main" count="3140" uniqueCount="766">
  <si>
    <t>NARA · Datos de prueba · BORRADOR para revisar</t>
  </si>
  <si>
    <t>Generado desde nara_datos_prueba.json (versión 2.0, reglas v2) · fecha de referencia 2026-10-08.</t>
  </si>
  <si>
    <t>Borrador: no trae contraseñas. Se generan con «node generar_excel.js --final».</t>
  </si>
  <si>
    <t/>
  </si>
  <si>
    <t>Qué contiene</t>
  </si>
  <si>
    <t>• 36 cuentas: 1 administrador, 5 experto de campo, 5 clínico, 5 observador, 20 paciente.</t>
  </si>
  <si>
    <t>• 5 territorios: Bucaramanga, Floridablanca, Bogotá, Cali, Barranquilla. Cada uno con 1 experto, 1 clínico y 1 observador.</t>
  </si>
  <si>
    <t>• 20 pacientes de la base 2022: 15 evaluados (uno por perfil P01–P15) y 5 «Sin evaluación» (uno por territorio).</t>
  </si>
  <si>
    <t>• 13 activos y 1 cambio(s) de ruta para la líder clínica.</t>
  </si>
  <si>
    <t>Hojas</t>
  </si>
  <si>
    <t>• Matriz y Reglas: los 15 perfiles con su ruta v2 y las reglas de clasificación aprobadas el 8 oct 2026.</t>
  </si>
  <si>
    <t>• Territorios, Usuarios y Asignaciones: quién trabaja dónde y con quién.</t>
  </si>
  <si>
    <t>• Pacientes: datos de la base 2022 y respuestas de la entrevista. Si se cambia una respuesta, el perfil se recalcula y los checks lo marcan.</t>
  </si>
  <si>
    <t>• Flujo: estado, decisión clínica, alertas, consentimiento, ruta, curso y seguimiento.</t>
  </si>
  <si>
    <t>• Cambios de ruta, Activos, Validación y Mapeo Mongo.</t>
  </si>
  <si>
    <t>Validación (validar.js)</t>
  </si>
  <si>
    <t>0 errores. Este archivo solo se genera si el JSON pasa la validación.</t>
  </si>
  <si>
    <t>Aviso: paciente BAR-SM124 (Neil): está en Crisis sin ruta aprobada (crisis por la pregunta 9 en la visita). Edgar definió Crisis como estado posterior a la aprobación: decidir si se acepta esta excepción</t>
  </si>
  <si>
    <t>Decisiones</t>
  </si>
  <si>
    <t>• Roles: Administrador, Experto de campo, Clínico, Paciente y Observador (rol único).</t>
  </si>
  <si>
    <t>• 5 territorios; cada uno con 1 experto, 1 clínico y 1 observador. Toda persona del territorio queda asignada a ese experto y a ese clínico.</t>
  </si>
  <si>
    <t>• 15 pacientes evaluados, uno por perfil P01–P15, y 5 «Sin evaluación», uno por territorio. Datos reales de la base 2022; correo y teléfono ficticios.</t>
  </si>
  <si>
    <t>• Un cambio de ruta pendiente (CR-001, P08) para probar «Aprobaciones» de la líder clínica.</t>
  </si>
  <si>
    <t>• Seguimiento: el contacto se mide por el canal de la capacidad digital (Alta = ingreso a la app, Media = WhatsApp, Baja = llamada o revisita). 14 días sin contacto = alerta «Sin contacto» (sigue Activo); más de 28 = Inactivo; un contacto nuevo lo devuelve a Activo.</t>
  </si>
  <si>
    <t>• Personal ficticio. Se reusan las cuentas existentes de admin@nara.com y de la Dra. Lucía Marín (líder clínica).</t>
  </si>
  <si>
    <t>• Sin «Contexto del sismo» en los 5 territorios: daño y pérdida en 0.</t>
  </si>
  <si>
    <t>• Rutas = matriz definitiva v2 (aprobada el 8 oct 2026). Coinciden con la interfaz solo cuando Lucho implemente la Fase 1 de las specs.</t>
  </si>
  <si>
    <t>• Sin contraseñas en este JSON: se generan al armar el Excel de carga.</t>
  </si>
  <si>
    <t>Antes de cargar</t>
  </si>
  <si>
    <t>• Las rutas son las de la matriz v2: cargar junto con la Fase 1 de las specs, o después. Antes, la interfaz muestra rutas distintas.</t>
  </si>
  <si>
    <t>• Limpiar primero la carga anterior de Cursor (108 territorios, 109 expertos, 453 personas, 455 cuentas de paciente con correos reales).</t>
  </si>
  <si>
    <t>• No guardar modulesEnabled en los pacientes: así la app muestra su ruta.</t>
  </si>
  <si>
    <t>Perfil</t>
  </si>
  <si>
    <t>Riesgo (PHQ-9)</t>
  </si>
  <si>
    <t>Puntaje PHQ-9</t>
  </si>
  <si>
    <t>Capacidad digital</t>
  </si>
  <si>
    <t>Puntaje digital</t>
  </si>
  <si>
    <t>Canal principal</t>
  </si>
  <si>
    <t>Nº servicios</t>
  </si>
  <si>
    <t>Ruta v2 (servicio y frecuencia)</t>
  </si>
  <si>
    <t>Meses</t>
  </si>
  <si>
    <t>Cursos y cuentos</t>
  </si>
  <si>
    <t>Paciente de prueba</t>
  </si>
  <si>
    <t>Estado</t>
  </si>
  <si>
    <t>P01</t>
  </si>
  <si>
    <t>Mínimo</t>
  </si>
  <si>
    <t>0–4</t>
  </si>
  <si>
    <t>Baja</t>
  </si>
  <si>
    <t>Teléfono, visita y material impreso</t>
  </si>
  <si>
    <t>Llamada de seguimiento (Mensual) · Técnicas guiadas (Material impreso) · Revisita del experto (Mensual) · Grupo de apoyo en la vereda (Mensual) · Cursos y cuentos (Curso con el experto)</t>
  </si>
  <si>
    <t>Curso con el experto · Cuadernillo impreso · audio en la visita</t>
  </si>
  <si>
    <t>Darly Yasmin Solano (BUC-SM436)</t>
  </si>
  <si>
    <t>Inactivo</t>
  </si>
  <si>
    <t>P02</t>
  </si>
  <si>
    <t>Media</t>
  </si>
  <si>
    <t>5–8</t>
  </si>
  <si>
    <t>WhatsApp (audio primero)</t>
  </si>
  <si>
    <t>Check-ins por WhatsApp (1 vez por semana) · Videos psicoeducativos (Serie completa) · Técnicas guiadas (En audio) · Grupo de apoyo en la vereda (Mensual) · Cursos y cuentos (Curso guiado por TEO)</t>
  </si>
  <si>
    <t>Curso guiado por TEO · WhatsApp · portada, audio y pregunta</t>
  </si>
  <si>
    <t>Mariluz (BAR-SM351)</t>
  </si>
  <si>
    <t>Activo</t>
  </si>
  <si>
    <t>P03</t>
  </si>
  <si>
    <t>Alta</t>
  </si>
  <si>
    <t>9–11</t>
  </si>
  <si>
    <t>App + WhatsApp</t>
  </si>
  <si>
    <t>Estado de ánimo (Diario) · Acompañante con IA (TEO) (Acceso libre) · Check-ins por WhatsApp (1 vez por semana) · Videos psicoeducativos (Serie completa) · Técnicas guiadas (En audio) · Cursos y cuentos (Curso guiado por TEO)</t>
  </si>
  <si>
    <t>Curso guiado por TEO · App · leer y escuchar</t>
  </si>
  <si>
    <t>Yessenia Coime (CAL-SM204)</t>
  </si>
  <si>
    <t>Por aprobar</t>
  </si>
  <si>
    <t>P04</t>
  </si>
  <si>
    <t>Leve</t>
  </si>
  <si>
    <t>5–9</t>
  </si>
  <si>
    <t>Llamada de seguimiento (Mensual) · Técnicas guiadas (Material impreso) · Revisita del experto (Cada 2 semanas) · Grupo de apoyo en la vereda (Mensual) · Cursos y cuentos (Curso con el experto)</t>
  </si>
  <si>
    <t>Sandra Milena García Pinto (FLO-SM435)</t>
  </si>
  <si>
    <t>P05</t>
  </si>
  <si>
    <t>Check-ins por WhatsApp (1 vez por semana) · Videos psicoeducativos (Serie completa) · Técnicas guiadas (En audio) · Revisita del experto (Mensual) · Grupo de apoyo en la vereda (Mensual) · Cursos y cuentos (Curso guiado por TEO)</t>
  </si>
  <si>
    <t>Cristian Páez Pérez (BUC-SM496)</t>
  </si>
  <si>
    <t>P06</t>
  </si>
  <si>
    <t>Estado de ánimo (Diario) · Acompañante con IA (TEO) (Acceso libre) · Check-ins por WhatsApp (1 vez por semana) · Videos psicoeducativos (Serie completa) · Técnicas guiadas (En audio) · Revisita del experto (Mensual) · Cursos y cuentos (Curso guiado por TEO)</t>
  </si>
  <si>
    <t>Andreina (BAR-SM300)</t>
  </si>
  <si>
    <t>P07</t>
  </si>
  <si>
    <t>Moderado</t>
  </si>
  <si>
    <t>10–14</t>
  </si>
  <si>
    <t>Psicólogo clínico (Mensual) · Llamada de seguimiento (Semanal) · Manilla de monitoreo (6 meses) · Técnicas guiadas (Material impreso) · Revisita del experto (Cada 2 semanas) · Problem Management Plus (PM+) (5 sesiones semanales) · Grupo de apoyo en la vereda (Quincenal) · Cursos y cuentos (Curso con el experto)</t>
  </si>
  <si>
    <t>Ana Rojas (BOG-SM347)</t>
  </si>
  <si>
    <t>P08</t>
  </si>
  <si>
    <t>Psicólogo clínico (Mensual) · Check-ins por WhatsApp (3 veces por semana) · Manilla de monitoreo (6 meses) · Videos psicoeducativos (Serie completa) · Técnicas guiadas (En audio) · Problem Management Plus (PM+) (5 sesiones semanales) · Grupo de apoyo en la vereda (Quincenal) · Cursos y cuentos (Curso con el experto)</t>
  </si>
  <si>
    <t>Curso con el experto · WhatsApp · portada, audio y pregunta</t>
  </si>
  <si>
    <t>Vanessa Castellanos (FLO-SM434)</t>
  </si>
  <si>
    <t>P09</t>
  </si>
  <si>
    <t>Estado de ánimo (Diario) · Psicólogo clínico (Mensual) · Acompañante con IA (TEO) (Entre sesiones) · Check-ins por WhatsApp (3 veces por semana) · Manilla de monitoreo (6 meses) · Videos psicoeducativos (Serie completa) · Técnicas guiadas (En audio) · Problem Management Plus (PM+) (5 sesiones semanales) · Cursos y cuentos (Curso con el experto)</t>
  </si>
  <si>
    <t>Curso con el experto · App · leer y escuchar</t>
  </si>
  <si>
    <t>Silvia Margarita Martínez Franco (BUC-SM135)</t>
  </si>
  <si>
    <t>P10</t>
  </si>
  <si>
    <t>Moderado-severo</t>
  </si>
  <si>
    <t>15–19</t>
  </si>
  <si>
    <t>Psicólogo clínico (Quincenal) · Llamada de seguimiento (Semanal) · Manilla de monitoreo (12 meses) · Técnicas guiadas (Material impreso) · Revisita del experto (Cada 2 semanas) · Problem Management Plus (PM+) (5 sesiones semanales) · Grupo de apoyo en la vereda (Quincenal) · Cursos y cuentos (Asignado por la psicóloga)</t>
  </si>
  <si>
    <t>Asignado por la psicóloga · Cuadernillo impreso · audio en la visita</t>
  </si>
  <si>
    <t>Lorena Lasso (CAL-SM352)</t>
  </si>
  <si>
    <t>Aprobado</t>
  </si>
  <si>
    <t>P11</t>
  </si>
  <si>
    <t>Psicólogo clínico (Quincenal) · Check-ins por WhatsApp (3 veces por semana) · Manilla de monitoreo (12 meses) · Videos psicoeducativos (Serie completa) · Técnicas guiadas (En audio) · Revisita del experto (Cada 2 semanas) · Problem Management Plus (PM+) (5 sesiones semanales) · Grupo de apoyo en la vereda (Quincenal) · Cursos y cuentos (Asignado por la psicóloga)</t>
  </si>
  <si>
    <t>Asignado por la psicóloga · WhatsApp · portada, audio y pregunta</t>
  </si>
  <si>
    <t>Julieth (BOG-SM321)</t>
  </si>
  <si>
    <t>Rechazado</t>
  </si>
  <si>
    <t>P12</t>
  </si>
  <si>
    <t>Estado de ánimo (Diario) · Psicólogo clínico (Quincenal) · Acompañante con IA (TEO) (Entre sesiones) · Check-ins por WhatsApp (3 veces por semana) · Manilla de monitoreo (12 meses) · Videos psicoeducativos (Serie completa) · Técnicas guiadas (En audio) · Revisita del experto (Cada 2 semanas) · Problem Management Plus (PM+) (5 sesiones semanales) · Cursos y cuentos (Asignado por la psicóloga)</t>
  </si>
  <si>
    <t>Asignado por la psicóloga · App · leer y escuchar</t>
  </si>
  <si>
    <t>Paula Pimienta (FLO-SM365)</t>
  </si>
  <si>
    <t>P13</t>
  </si>
  <si>
    <t>Severo</t>
  </si>
  <si>
    <t>20–27</t>
  </si>
  <si>
    <t>Psicólogo clínico (Semanal) · Llamada de seguimiento (Semanal) · Manilla de monitoreo (12 meses) · Técnicas guiadas (Material impreso) · Revisita del experto (Cada 2 semanas) · Cursos y cuentos (Asignado por la psicóloga)</t>
  </si>
  <si>
    <t>Neil (BAR-SM124)</t>
  </si>
  <si>
    <t>Crisis</t>
  </si>
  <si>
    <t>P14</t>
  </si>
  <si>
    <t>Psicólogo clínico (Semanal) · Check-ins por WhatsApp (3 veces por semana) · Manilla de monitoreo (12 meses) · Videos psicoeducativos (Serie completa) · Técnicas guiadas (En audio) · Revisita del experto (Cada 2 semanas) · Cursos y cuentos (Asignado por la psicóloga)</t>
  </si>
  <si>
    <t>Andrés (CAL-SM182)</t>
  </si>
  <si>
    <t>P15</t>
  </si>
  <si>
    <t>Estado de ánimo (Diario) · Psicólogo clínico (Semanal) · Check-ins por WhatsApp (3 veces por semana) · Manilla de monitoreo (12 meses) · Videos psicoeducativos (Serie completa) · Técnicas guiadas (En audio) · Revisita del experto (Cada 2 semanas) · Cursos y cuentos (Asignado por la psicóloga)</t>
  </si>
  <si>
    <t>Isabel (BOG-SM237)</t>
  </si>
  <si>
    <t>Cuadro de perfiles: riesgo × capacidad digital</t>
  </si>
  <si>
    <t>Riesgo \ Digital</t>
  </si>
  <si>
    <t>Baja (0–4 o sin teléfono)</t>
  </si>
  <si>
    <t>Media (5–8)</t>
  </si>
  <si>
    <t>Alta (9–11)</t>
  </si>
  <si>
    <t>Mínimo (0–4)</t>
  </si>
  <si>
    <t>P01 · Darly Yasmin Solano (BUC)</t>
  </si>
  <si>
    <t>P02 · Mariluz (BAR)</t>
  </si>
  <si>
    <t>P03 · Yessenia Coime (CAL)</t>
  </si>
  <si>
    <t>Leve (5–9)</t>
  </si>
  <si>
    <t>P04 · Sandra Milena García Pinto (FLO)</t>
  </si>
  <si>
    <t>P05 · Cristian Páez Pérez (BUC)</t>
  </si>
  <si>
    <t>P06 · Andreina (BAR)</t>
  </si>
  <si>
    <t>Moderado (10–14)</t>
  </si>
  <si>
    <t>P07 · Ana Rojas (BOG)</t>
  </si>
  <si>
    <t>P08 · Vanessa Castellanos (FLO)</t>
  </si>
  <si>
    <t>P09 · Silvia Margarita Martínez Franco (BUC)</t>
  </si>
  <si>
    <t>Moderado-severo (15–19)</t>
  </si>
  <si>
    <t>P10 · Lorena Lasso (CAL)</t>
  </si>
  <si>
    <t>P11 · Julieth (BOG)</t>
  </si>
  <si>
    <t>P12 · Paula Pimienta (FLO)</t>
  </si>
  <si>
    <t>Severo (20–27)</t>
  </si>
  <si>
    <t>P13 · Neil (BAR)</t>
  </si>
  <si>
    <t>P14 · Andrés (CAL)</t>
  </si>
  <si>
    <t>P15 · Isabel (BOG)</t>
  </si>
  <si>
    <t>Reglas de clasificación v2 (aprobadas el 8 oct 2026)</t>
  </si>
  <si>
    <t>Clasificación</t>
  </si>
  <si>
    <t>• Riesgo PHQ-9 (9 preguntas de 0 a 3, total 0–27): Mínimo 0–4 · Leve 5–9 · Moderado 10–14 · Moderado-severo 15–19 · Severo 20–27.</t>
  </si>
  <si>
    <t>• Capacidad digital (6 preguntas, total 0–11): Baja 0–4 · Media 5–8 · Alta 9–11.</t>
  </si>
  <si>
    <t>• Sin teléfono (pregunta 1 = «Ninguno») ⇒ Baja, sin importar el puntaje.</t>
  </si>
  <si>
    <t>• «Uso diario» (pregunta 3) no puede ser mayor que «Teléfono» (pregunta 1): no deja calcular el resultado.</t>
  </si>
  <si>
    <t>• Perfil = riesgo × 3 + digital + 1 → P01 (Mínimo × Baja) a P15 (Severo × Alta).</t>
  </si>
  <si>
    <t>• Crisis: pregunta 9 mayor que 0 ⇒ alerta inmediata al clínico de turno del territorio.</t>
  </si>
  <si>
    <t>Seguimiento (decidido el 8 oct 2026)</t>
  </si>
  <si>
    <t>• El contacto se mide por el canal de la capacidad digital: Alta = ingreso a la app · Media = respuesta por WhatsApp · Baja = llamada o revisita.</t>
  </si>
  <si>
    <t>• 14 días sin contacto ⇒ alerta «Sin contacto» para que el experto la busque; la persona sigue Activa.</t>
  </si>
  <si>
    <t>• Más de 28 días sin contacto ⇒ estado Inactivo. Un contacto nuevo la devuelve sola a Activo.</t>
  </si>
  <si>
    <t>Rutas (ver hoja Matriz)</t>
  </si>
  <si>
    <t>• «Estado de ánimo» en la app solo con capacidad Alta; en Baja y Media se pregunta en la llamada, la revisita o el WhatsApp.</t>
  </si>
  <si>
    <t>• Cursos con el experto en Baja (Mínimo a Moderado); asignados por la psicóloga desde Moderado-severo.</t>
  </si>
  <si>
    <t>• PM+ en Moderado y Moderado-severo (PHQ-9 ≥ 10). Leve recibe revisita: cada 2 semanas en Baja, mensual en Media y Alta.</t>
  </si>
  <si>
    <t>Fase 2 (pendiente de construir)</t>
  </si>
  <si>
    <t>• Pregunta de privacidad del teléfono: si no puede usarlo a solas, se atiende como Baja.</t>
  </si>
  <si>
    <t>• Crisis en dos pasos: tamizaje C-SSRS tras la pregunta 9 para marcar la urgencia como aguda (30 min) o prioritaria (24 h).</t>
  </si>
  <si>
    <t>• Botón para que el experto active la crisis aunque la pregunta 9 sea 0.</t>
  </si>
  <si>
    <t>Pendiente de Edgar</t>
  </si>
  <si>
    <t>• ¿Se acepta Crisis antes de la aprobación cuando la pregunta 9 sale positiva en la visita? (caso de Neil, BAR)</t>
  </si>
  <si>
    <t>Código</t>
  </si>
  <si>
    <t>Territorio</t>
  </si>
  <si>
    <t>Departamento</t>
  </si>
  <si>
    <t>Nivel</t>
  </si>
  <si>
    <t>Meta de captación</t>
  </si>
  <si>
    <t>Rural mínima %</t>
  </si>
  <si>
    <t>60+ mínima %</t>
  </si>
  <si>
    <t>Contenido local</t>
  </si>
  <si>
    <t>Lugares</t>
  </si>
  <si>
    <t>Experto de campo</t>
  </si>
  <si>
    <t>Clínico</t>
  </si>
  <si>
    <t>Observador</t>
  </si>
  <si>
    <t>Experto (ID cuenta)</t>
  </si>
  <si>
    <t>Clínico (ID cuenta)</t>
  </si>
  <si>
    <t>Observador (ID cuenta)</t>
  </si>
  <si>
    <t>BUC</t>
  </si>
  <si>
    <t>Bucaramanga</t>
  </si>
  <si>
    <t>Santander</t>
  </si>
  <si>
    <t>Municipio completo</t>
  </si>
  <si>
    <t>PHQ-9 + capacidad digital (base)</t>
  </si>
  <si>
    <t>Bucaramanga, Santander</t>
  </si>
  <si>
    <t>Laura Milena Rueda Pinzón</t>
  </si>
  <si>
    <t>Dra. Adriana Marcela Gómez Duarte</t>
  </si>
  <si>
    <t>Mónica Liliana Parra Ortiz</t>
  </si>
  <si>
    <t>u-exp-bucaramanga</t>
  </si>
  <si>
    <t>u-cli-bucaramanga</t>
  </si>
  <si>
    <t>u-obs-bucaramanga</t>
  </si>
  <si>
    <t>FLO</t>
  </si>
  <si>
    <t>Floridablanca</t>
  </si>
  <si>
    <t>Floridablanca, Santander</t>
  </si>
  <si>
    <t>Jhon Fredy Ardila Serrano</t>
  </si>
  <si>
    <t>Dr. Felipe Augusto Quintero Mantilla</t>
  </si>
  <si>
    <t>Hernán Darío Suárez León</t>
  </si>
  <si>
    <t>u-exp-floridablanca</t>
  </si>
  <si>
    <t>u-cli-floridablanca</t>
  </si>
  <si>
    <t>u-obs-floridablanca</t>
  </si>
  <si>
    <t>BOG</t>
  </si>
  <si>
    <t>Bogotá</t>
  </si>
  <si>
    <t>Bogotá D.C.</t>
  </si>
  <si>
    <t>Bogotá, Bogotá D.C.</t>
  </si>
  <si>
    <t>Natalia Andrea Cárdenas Moreno</t>
  </si>
  <si>
    <t>Dra. Lucía Marín</t>
  </si>
  <si>
    <t>Carolina Ospina Ríos</t>
  </si>
  <si>
    <t>u-exp-bogota</t>
  </si>
  <si>
    <t>umuvzhvkb</t>
  </si>
  <si>
    <t>u-obs-bogota</t>
  </si>
  <si>
    <t>CAL</t>
  </si>
  <si>
    <t>Cali</t>
  </si>
  <si>
    <t>Valle del Cauca</t>
  </si>
  <si>
    <t>Cali, Valle del Cauca</t>
  </si>
  <si>
    <t>Carlos Andrés Mosquera Valencia</t>
  </si>
  <si>
    <t>Dra. Paola Andrea Caicedo Arboleda</t>
  </si>
  <si>
    <t>Julián Esteban Arango Muñoz</t>
  </si>
  <si>
    <t>u-exp-cali</t>
  </si>
  <si>
    <t>u-cli-cali</t>
  </si>
  <si>
    <t>u-obs-cali</t>
  </si>
  <si>
    <t>BAR</t>
  </si>
  <si>
    <t>Barranquilla</t>
  </si>
  <si>
    <t>Atlántico</t>
  </si>
  <si>
    <t>Barranquilla, Atlántico</t>
  </si>
  <si>
    <t>Katherine Paola De la Hoz Charris</t>
  </si>
  <si>
    <t>Dr. Rafael Enrique Barrios Pertuz</t>
  </si>
  <si>
    <t>Mariana Isabel Vergara Palencia</t>
  </si>
  <si>
    <t>u-exp-barranquilla</t>
  </si>
  <si>
    <t>u-cli-barranquilla</t>
  </si>
  <si>
    <t>u-obs-barranquilla</t>
  </si>
  <si>
    <t>ID cuenta</t>
  </si>
  <si>
    <t>Rol</t>
  </si>
  <si>
    <t>Nombre</t>
  </si>
  <si>
    <t>Correo</t>
  </si>
  <si>
    <t>Teléfono</t>
  </si>
  <si>
    <t>Organización</t>
  </si>
  <si>
    <t>Líder clínica</t>
  </si>
  <si>
    <t>Estado de la cuenta</t>
  </si>
  <si>
    <t>Experto · ID en experts</t>
  </si>
  <si>
    <t>Experto · meta por día</t>
  </si>
  <si>
    <t>Experto · meta por semana</t>
  </si>
  <si>
    <t>Experto · tablet</t>
  </si>
  <si>
    <t>Experto · capacitación</t>
  </si>
  <si>
    <t>Observador · módulos</t>
  </si>
  <si>
    <t>Paciente · ID paciente</t>
  </si>
  <si>
    <t>Paciente · perfil listo (profileReady)</t>
  </si>
  <si>
    <t>Origen de los datos</t>
  </si>
  <si>
    <t>Nota</t>
  </si>
  <si>
    <t>Contraseña inicial (temporal)</t>
  </si>
  <si>
    <t>admin</t>
  </si>
  <si>
    <t>Administrador</t>
  </si>
  <si>
    <t>Administrador NARA</t>
  </si>
  <si>
    <t>admin@nara.com</t>
  </si>
  <si>
    <t>Todos</t>
  </si>
  <si>
    <t>Programa NARA</t>
  </si>
  <si>
    <t>Cuenta existente (reusar)</t>
  </si>
  <si>
    <t>Rotar la clave actual: AdminNara2026 está en el repositorio (hallazgo S-4).</t>
  </si>
  <si>
    <t>(versión final)</t>
  </si>
  <si>
    <t>laura.rueda@nara.com</t>
  </si>
  <si>
    <t>300 000 0101</t>
  </si>
  <si>
    <t>exp-bucaramanga</t>
  </si>
  <si>
    <t>TB-001</t>
  </si>
  <si>
    <t>Completa</t>
  </si>
  <si>
    <t>Ficticio</t>
  </si>
  <si>
    <t>jhon.ardila@nara.com</t>
  </si>
  <si>
    <t>300 000 0102</t>
  </si>
  <si>
    <t>exp-floridablanca</t>
  </si>
  <si>
    <t>TB-002</t>
  </si>
  <si>
    <t>natalia.cardenas@nara.com</t>
  </si>
  <si>
    <t>300 000 0103</t>
  </si>
  <si>
    <t>exp-bogota</t>
  </si>
  <si>
    <t>TB-003</t>
  </si>
  <si>
    <t>carlos.mosquera@nara.com</t>
  </si>
  <si>
    <t>300 000 0104</t>
  </si>
  <si>
    <t>exp-cali</t>
  </si>
  <si>
    <t>TB-004</t>
  </si>
  <si>
    <t>katherine.delahoz@nara.com</t>
  </si>
  <si>
    <t>300 000 0105</t>
  </si>
  <si>
    <t>exp-barranquilla</t>
  </si>
  <si>
    <t>TB-005</t>
  </si>
  <si>
    <t>adriana.gomez@nara.com</t>
  </si>
  <si>
    <t>300 000 0201</t>
  </si>
  <si>
    <t>No</t>
  </si>
  <si>
    <t>felipe.quintero@nara.com</t>
  </si>
  <si>
    <t>300 000 0202</t>
  </si>
  <si>
    <t>lucia.marin@nara.com</t>
  </si>
  <si>
    <t>300 000 0203</t>
  </si>
  <si>
    <t>Sí</t>
  </si>
  <si>
    <t>Cuenta existente (reusar); cambia de Quindío a Bogotá</t>
  </si>
  <si>
    <t>paola.caicedo@nara.com</t>
  </si>
  <si>
    <t>300 000 0204</t>
  </si>
  <si>
    <t>rafael.barrios@nara.com</t>
  </si>
  <si>
    <t>300 000 0205</t>
  </si>
  <si>
    <t>monica.parra@nara.com</t>
  </si>
  <si>
    <t>300 000 0301</t>
  </si>
  <si>
    <t>Fundación NARA</t>
  </si>
  <si>
    <t>Avance del territorio (agregado) · Resultados (agregado) · TEO</t>
  </si>
  <si>
    <t>hernan.suarez@nara.com</t>
  </si>
  <si>
    <t>300 000 0302</t>
  </si>
  <si>
    <t>carolina.ospina@nara.com</t>
  </si>
  <si>
    <t>300 000 0303</t>
  </si>
  <si>
    <t>Centro de Investigación NARA</t>
  </si>
  <si>
    <t>julian.arango@nara.com</t>
  </si>
  <si>
    <t>300 000 0304</t>
  </si>
  <si>
    <t>mariana.vergara@nara.com</t>
  </si>
  <si>
    <t>300 000 0305</t>
  </si>
  <si>
    <t>Red de Salud Aliada NARA</t>
  </si>
  <si>
    <t>u-pac-sm-436</t>
  </si>
  <si>
    <t>Paciente</t>
  </si>
  <si>
    <t>Darly Yasmin Solano</t>
  </si>
  <si>
    <t>buc-sm436@pacientes.nara.local</t>
  </si>
  <si>
    <t>300 000 1436</t>
  </si>
  <si>
    <t>sm-436</t>
  </si>
  <si>
    <t>Real (base 2022) · correo y teléfono ficticios</t>
  </si>
  <si>
    <t>u-pac-sm-496</t>
  </si>
  <si>
    <t>Cristian Páez Pérez</t>
  </si>
  <si>
    <t>buc-sm496@pacientes.nara.local</t>
  </si>
  <si>
    <t>300 000 1496</t>
  </si>
  <si>
    <t>sm-496</t>
  </si>
  <si>
    <t>u-pac-sm-135</t>
  </si>
  <si>
    <t>Silvia Margarita Martínez Franco</t>
  </si>
  <si>
    <t>buc-sm135@pacientes.nara.local</t>
  </si>
  <si>
    <t>300 000 1135</t>
  </si>
  <si>
    <t>sm-135</t>
  </si>
  <si>
    <t>u-pac-sm-435</t>
  </si>
  <si>
    <t>Sandra Milena García Pinto</t>
  </si>
  <si>
    <t>flo-sm435@pacientes.nara.local</t>
  </si>
  <si>
    <t>300 000 1435</t>
  </si>
  <si>
    <t>sm-435</t>
  </si>
  <si>
    <t>u-pac-sm-434</t>
  </si>
  <si>
    <t>Vanessa Castellanos</t>
  </si>
  <si>
    <t>flo-sm434@pacientes.nara.local</t>
  </si>
  <si>
    <t>300 000 1434</t>
  </si>
  <si>
    <t>sm-434</t>
  </si>
  <si>
    <t>u-pac-sm-365</t>
  </si>
  <si>
    <t>Paula Pimienta</t>
  </si>
  <si>
    <t>flo-sm365@pacientes.nara.local</t>
  </si>
  <si>
    <t>300 000 1365</t>
  </si>
  <si>
    <t>sm-365</t>
  </si>
  <si>
    <t>u-pac-sm-347</t>
  </si>
  <si>
    <t>Ana Rojas</t>
  </si>
  <si>
    <t>bog-sm347@pacientes.nara.local</t>
  </si>
  <si>
    <t>300 000 1347</t>
  </si>
  <si>
    <t>sm-347</t>
  </si>
  <si>
    <t>u-pac-sm-321</t>
  </si>
  <si>
    <t>Julieth</t>
  </si>
  <si>
    <t>bog-sm321@pacientes.nara.local</t>
  </si>
  <si>
    <t>300 000 1321</t>
  </si>
  <si>
    <t>sm-321</t>
  </si>
  <si>
    <t>u-pac-sm-237</t>
  </si>
  <si>
    <t>Isabel</t>
  </si>
  <si>
    <t>bog-sm237@pacientes.nara.local</t>
  </si>
  <si>
    <t>300 000 1237</t>
  </si>
  <si>
    <t>sm-237</t>
  </si>
  <si>
    <t>u-pac-sm-352</t>
  </si>
  <si>
    <t>Lorena Lasso</t>
  </si>
  <si>
    <t>cal-sm352@pacientes.nara.local</t>
  </si>
  <si>
    <t>300 000 1352</t>
  </si>
  <si>
    <t>sm-352</t>
  </si>
  <si>
    <t>u-pac-sm-182</t>
  </si>
  <si>
    <t>Andrés</t>
  </si>
  <si>
    <t>cal-sm182@pacientes.nara.local</t>
  </si>
  <si>
    <t>300 000 1182</t>
  </si>
  <si>
    <t>sm-182</t>
  </si>
  <si>
    <t>u-pac-sm-204</t>
  </si>
  <si>
    <t>Yessenia Coime</t>
  </si>
  <si>
    <t>cal-sm204@pacientes.nara.local</t>
  </si>
  <si>
    <t>300 000 1204</t>
  </si>
  <si>
    <t>sm-204</t>
  </si>
  <si>
    <t>u-pac-sm-124</t>
  </si>
  <si>
    <t>Neil</t>
  </si>
  <si>
    <t>bar-sm124@pacientes.nara.local</t>
  </si>
  <si>
    <t>300 000 1124</t>
  </si>
  <si>
    <t>sm-124</t>
  </si>
  <si>
    <t>u-pac-sm-351</t>
  </si>
  <si>
    <t>Mariluz</t>
  </si>
  <si>
    <t>bar-sm351@pacientes.nara.local</t>
  </si>
  <si>
    <t>300 000 1351</t>
  </si>
  <si>
    <t>sm-351</t>
  </si>
  <si>
    <t>u-pac-sm-300</t>
  </si>
  <si>
    <t>Andreina</t>
  </si>
  <si>
    <t>bar-sm300@pacientes.nara.local</t>
  </si>
  <si>
    <t>300 000 1300</t>
  </si>
  <si>
    <t>sm-300</t>
  </si>
  <si>
    <t>u-pac-sm-327</t>
  </si>
  <si>
    <t>Beatriz Elena Ramírez Coronado</t>
  </si>
  <si>
    <t>buc-sm327@pacientes.nara.local</t>
  </si>
  <si>
    <t>300 000 1327</t>
  </si>
  <si>
    <t>sm-327</t>
  </si>
  <si>
    <t>u-pac-sm-433</t>
  </si>
  <si>
    <t>Tatiana</t>
  </si>
  <si>
    <t>flo-sm433@pacientes.nara.local</t>
  </si>
  <si>
    <t>300 000 1433</t>
  </si>
  <si>
    <t>sm-433</t>
  </si>
  <si>
    <t>u-pac-sm-207</t>
  </si>
  <si>
    <t>Juli</t>
  </si>
  <si>
    <t>bog-sm207@pacientes.nara.local</t>
  </si>
  <si>
    <t>300 000 1207</t>
  </si>
  <si>
    <t>sm-207</t>
  </si>
  <si>
    <t>u-pac-sm-406</t>
  </si>
  <si>
    <t>Stiven</t>
  </si>
  <si>
    <t>cal-sm406@pacientes.nara.local</t>
  </si>
  <si>
    <t>300 000 1406</t>
  </si>
  <si>
    <t>sm-406</t>
  </si>
  <si>
    <t>u-pac-sm-187</t>
  </si>
  <si>
    <t>Esmy</t>
  </si>
  <si>
    <t>bar-sm187@pacientes.nara.local</t>
  </si>
  <si>
    <t>300 000 1187</t>
  </si>
  <si>
    <t>sm-187</t>
  </si>
  <si>
    <t>ID paciente</t>
  </si>
  <si>
    <t>ID original 2022</t>
  </si>
  <si>
    <t>Origen del nombre</t>
  </si>
  <si>
    <t>Valor original en la base</t>
  </si>
  <si>
    <t>Edad</t>
  </si>
  <si>
    <t>Sexo</t>
  </si>
  <si>
    <t>Identidad de género</t>
  </si>
  <si>
    <t>Estado civil</t>
  </si>
  <si>
    <t>Estrato</t>
  </si>
  <si>
    <t>Municipio (base 2022)</t>
  </si>
  <si>
    <t>Fecha de registro 2022</t>
  </si>
  <si>
    <t>Cuenta del paciente (ID)</t>
  </si>
  <si>
    <t>Correo (ficticio)</t>
  </si>
  <si>
    <t>Teléfono (ficticio)</t>
  </si>
  <si>
    <t>PHQ 1 · Poco interés o placer en hacer las cosas</t>
  </si>
  <si>
    <t>PHQ 2 · Se ha sentido decaído/a, deprimido/a o sin esperanza</t>
  </si>
  <si>
    <t>PHQ 3 · Dificultad para dormir o dormir demasiado</t>
  </si>
  <si>
    <t>PHQ 4 · Se ha sentido cansado/a o con poca energía</t>
  </si>
  <si>
    <t>PHQ 5 · Poco apetito o come en exceso</t>
  </si>
  <si>
    <t>PHQ 6 · Se ha sentido mal consigo mismo/a, o una carga para su familia</t>
  </si>
  <si>
    <t>PHQ 7 · Dificultad para concentrarse</t>
  </si>
  <si>
    <t>PHQ 8 · Se mueve o habla muy lento, o está muy inquieto/a</t>
  </si>
  <si>
    <t>PHQ 9 · Pensamientos de que estaría mejor muerto/a o de hacerse daño</t>
  </si>
  <si>
    <t>PHQ-9 total</t>
  </si>
  <si>
    <t>Riesgo</t>
  </si>
  <si>
    <t>DIG 1 · Teléfono (0 Ninguno, 1 Compartido, 2 Smartphone propio)</t>
  </si>
  <si>
    <t>DIG 2 · Conexión en casa (0 Sin señal, 1 Datos limitados, 2 Estable)</t>
  </si>
  <si>
    <t>DIG 3 · Uso diario (0 Solo llamadas, 1 WhatsApp y audios, 2 Apps y videollamadas)</t>
  </si>
  <si>
    <t>DIG 4 · Lectura y escritura (0 Prefiere voz, 1 Básica, 2 Cómoda)</t>
  </si>
  <si>
    <t>DIG 5 · ¿Hablaría con una app? (0 No, 1 Tal vez, 2 Sí)</t>
  </si>
  <si>
    <t>DIG 6 · Alguien en casa le ayuda con el celular (0 No, 1 Sí)</t>
  </si>
  <si>
    <t>Digital total</t>
  </si>
  <si>
    <t>Nota de capacidad digital</t>
  </si>
  <si>
    <t>Contexto · daño en la vivienda (0 Ninguno, 1 Parcial, 2 Total)</t>
  </si>
  <si>
    <t>Contexto · perdió a un familiar (0 No, 1 Sí)</t>
  </si>
  <si>
    <t>Perfil (JSON)</t>
  </si>
  <si>
    <t>Perfil calculado</t>
  </si>
  <si>
    <t>Check · perfil = respuestas</t>
  </si>
  <si>
    <t>Check · experto del territorio</t>
  </si>
  <si>
    <t>Check · clínico del territorio</t>
  </si>
  <si>
    <t>Check · edad ≥ 18</t>
  </si>
  <si>
    <t>Check · uso ≤ teléfono</t>
  </si>
  <si>
    <t>BUC-SM436</t>
  </si>
  <si>
    <t>Real · nombre y apellido</t>
  </si>
  <si>
    <t>Darly yasmin solano</t>
  </si>
  <si>
    <t>Femenino</t>
  </si>
  <si>
    <t>Unión Libre</t>
  </si>
  <si>
    <t>BUC-SM496</t>
  </si>
  <si>
    <t>Cristian Paez Perez</t>
  </si>
  <si>
    <t>Masculino</t>
  </si>
  <si>
    <t>Soltero(A)</t>
  </si>
  <si>
    <t>BUC-SM135</t>
  </si>
  <si>
    <t>Silvia Margarita Martinez Franco</t>
  </si>
  <si>
    <t>Casado(A)</t>
  </si>
  <si>
    <t>FLO-SM435</t>
  </si>
  <si>
    <t>Sandra Milena Garcia Pinto</t>
  </si>
  <si>
    <t>FLO-SM434</t>
  </si>
  <si>
    <t>FLO-SM365</t>
  </si>
  <si>
    <t>BOG-SM347</t>
  </si>
  <si>
    <t>Derivado del usuario</t>
  </si>
  <si>
    <t>anarojas93@yahoo.es</t>
  </si>
  <si>
    <t>Divorciado(A)</t>
  </si>
  <si>
    <t>BOG-SM321</t>
  </si>
  <si>
    <t>juliethz</t>
  </si>
  <si>
    <t>Bogota</t>
  </si>
  <si>
    <t>BOG-SM237</t>
  </si>
  <si>
    <t>Isabelhdezb</t>
  </si>
  <si>
    <t>CAL-SM352</t>
  </si>
  <si>
    <t>Lorena lasso</t>
  </si>
  <si>
    <t>CAL-SM182</t>
  </si>
  <si>
    <t>Real · solo nombre</t>
  </si>
  <si>
    <t>Andres</t>
  </si>
  <si>
    <t>CAL-SM204</t>
  </si>
  <si>
    <t>Yessenia coime</t>
  </si>
  <si>
    <t>BAR-SM124</t>
  </si>
  <si>
    <t>Neil0909</t>
  </si>
  <si>
    <t>BAR-SM351</t>
  </si>
  <si>
    <t>BAR-SM300</t>
  </si>
  <si>
    <t>BUC-SM327</t>
  </si>
  <si>
    <t>BEATRIZ ELENA RAMIREZ CORONADO</t>
  </si>
  <si>
    <t>Sin evaluación</t>
  </si>
  <si>
    <t>FLO-SM433</t>
  </si>
  <si>
    <t>BOG-SM207</t>
  </si>
  <si>
    <t>Juli16BTS</t>
  </si>
  <si>
    <t>CAL-SM406</t>
  </si>
  <si>
    <t>BAR-SM187</t>
  </si>
  <si>
    <t>Esmy.nam</t>
  </si>
  <si>
    <t>Visita programada</t>
  </si>
  <si>
    <t>Fecha de evaluación</t>
  </si>
  <si>
    <t>Duración entrevista (min)</t>
  </si>
  <si>
    <t>Decisión clínica</t>
  </si>
  <si>
    <t>Fecha de la decisión</t>
  </si>
  <si>
    <t>Clínico que decidió</t>
  </si>
  <si>
    <t>Motivo del rechazo</t>
  </si>
  <si>
    <t>Alerta de crisis</t>
  </si>
  <si>
    <t>Origen de la alerta</t>
  </si>
  <si>
    <t>Fecha y hora de la alerta</t>
  </si>
  <si>
    <t>Alerta dirigida a</t>
  </si>
  <si>
    <t>Consentimiento obligatorio (3/3)</t>
  </si>
  <si>
    <t>Autoriza contacto por teléfono o WhatsApp</t>
  </si>
  <si>
    <t>Autoriza manilla</t>
  </si>
  <si>
    <t>Autoriza remisión</t>
  </si>
  <si>
    <t>Ruta (servicio y frecuencia)</t>
  </si>
  <si>
    <t>Curso propuesto</t>
  </si>
  <si>
    <t>Semanas del curso</t>
  </si>
  <si>
    <t>Motivo del curso</t>
  </si>
  <si>
    <t>Modalidad del curso</t>
  </si>
  <si>
    <t>Canal del curso</t>
  </si>
  <si>
    <t>Último contacto</t>
  </si>
  <si>
    <t>Canal del último contacto</t>
  </si>
  <si>
    <t>Días sin contacto</t>
  </si>
  <si>
    <t>Alerta «Sin contacto» (14 días o más)</t>
  </si>
  <si>
    <t>Adherencia %</t>
  </si>
  <si>
    <t>Cuenta lista para la app (perfilListo)</t>
  </si>
  <si>
    <t>Próximo paso</t>
  </si>
  <si>
    <t>Check · pregunta 9 &gt; 0 ⇒ Crisis</t>
  </si>
  <si>
    <t>Check · manilla autorizada</t>
  </si>
  <si>
    <t>Check · estado y decisión</t>
  </si>
  <si>
    <t>Check · días sin contacto (14 y 28)</t>
  </si>
  <si>
    <t>Check · canal según capacidad</t>
  </si>
  <si>
    <t>No aplica</t>
  </si>
  <si>
    <t>Calma cuando tiembla</t>
  </si>
  <si>
    <t>para manejar el miedo y el estrés</t>
  </si>
  <si>
    <t>Curso con el experto</t>
  </si>
  <si>
    <t>Cuadernillo impreso · audio en la visita</t>
  </si>
  <si>
    <t>Llamada de seguimiento</t>
  </si>
  <si>
    <t>Más de 4 semanas sin contacto: el experto la busca en la próxima revisita.</t>
  </si>
  <si>
    <t>Ánimo, paso a paso</t>
  </si>
  <si>
    <t>porque tiene el ánimo bajo</t>
  </si>
  <si>
    <t>Curso guiado por TEO</t>
  </si>
  <si>
    <t>WhatsApp · portada, audio y pregunta</t>
  </si>
  <si>
    <t>Check-in por WhatsApp</t>
  </si>
  <si>
    <t>Seguir la ruta; próxima revisión cada 4 semanas.</t>
  </si>
  <si>
    <t>Pendiente</t>
  </si>
  <si>
    <t>Dormir mejor después del sismo</t>
  </si>
  <si>
    <t>porque duerme mal desde el sismo</t>
  </si>
  <si>
    <t>App · leer y escuchar</t>
  </si>
  <si>
    <t>El clínico del territorio aprueba o rechaza el perfil y la ruta.</t>
  </si>
  <si>
    <t>Revisita del experto</t>
  </si>
  <si>
    <t>Asignado por la psicóloga</t>
  </si>
  <si>
    <t>Ingreso a la app</t>
  </si>
  <si>
    <t>Las respuestas del PHQ-9 no coinciden con lo que cuenta la persona en la entrevista. Repetir la evaluación.</t>
  </si>
  <si>
    <t>Sin ruta hasta repetir la evaluación. Propuesta: Psicólogo clínico (Quincenal) · Check-ins por WhatsApp (3 veces por semana) · Manilla de monitoreo (12 meses) · Videos psicoeducativos (Serie completa) · Técnicas guiadas (En audio) · Revisita del experto (Cada 2 semanas) · Problem Management Plus (PM+) (5 sesiones semanales) · Grupo de apoyo en la vereda (Quincenal) · Cursos y cuentos (Asignado por la psicóloga)</t>
  </si>
  <si>
    <t>El experto repite la entrevista.</t>
  </si>
  <si>
    <t>Primer contacto de la ruta dentro de 7 días.</t>
  </si>
  <si>
    <t>Abierta</t>
  </si>
  <si>
    <t>Escribió AYUDA por WhatsApp</t>
  </si>
  <si>
    <t>WhatsApp · escribió AYUDA</t>
  </si>
  <si>
    <t>El clínico toma la alerta y llama en menos de 30 minutos; revisita del experto en 48 h.</t>
  </si>
  <si>
    <t>Pregunta 9 mayor que 0 en la visita</t>
  </si>
  <si>
    <t>El experto hace la entrevista en la visita del 2026-10-09.</t>
  </si>
  <si>
    <t>El experto hace la entrevista en la visita del 2026-10-10.</t>
  </si>
  <si>
    <t>ID (paciente o cambio)</t>
  </si>
  <si>
    <t>Paciente o cambio</t>
  </si>
  <si>
    <t>Tipo</t>
  </si>
  <si>
    <t>Servicio</t>
  </si>
  <si>
    <t>Frecuencia</t>
  </si>
  <si>
    <t>Canal</t>
  </si>
  <si>
    <t>Duración de la ruta (meses)</t>
  </si>
  <si>
    <t>Vigente</t>
  </si>
  <si>
    <t>Mensual</t>
  </si>
  <si>
    <t>Técnicas guiadas</t>
  </si>
  <si>
    <t>Material impreso</t>
  </si>
  <si>
    <t>Visita en casa</t>
  </si>
  <si>
    <t>Grupo de apoyo en la vereda</t>
  </si>
  <si>
    <t>En la vereda · con facilitador</t>
  </si>
  <si>
    <t>Check-ins por WhatsApp</t>
  </si>
  <si>
    <t>1 vez por semana</t>
  </si>
  <si>
    <t>Audio primero</t>
  </si>
  <si>
    <t>Videos psicoeducativos</t>
  </si>
  <si>
    <t>Serie completa</t>
  </si>
  <si>
    <t>En audio</t>
  </si>
  <si>
    <t>Estado de ánimo</t>
  </si>
  <si>
    <t>Diario</t>
  </si>
  <si>
    <t>App · check-in diario</t>
  </si>
  <si>
    <t>Psicólogo clínico</t>
  </si>
  <si>
    <t>Videollamada o teléfono</t>
  </si>
  <si>
    <t>Acompañante con IA (TEO)</t>
  </si>
  <si>
    <t>Entre sesiones</t>
  </si>
  <si>
    <t>App</t>
  </si>
  <si>
    <t>3 veces por semana</t>
  </si>
  <si>
    <t>Manilla de monitoreo</t>
  </si>
  <si>
    <t>6 meses</t>
  </si>
  <si>
    <t>Sueño y ritmo cardiaco</t>
  </si>
  <si>
    <t>Problem Management Plus (PM+)</t>
  </si>
  <si>
    <t>5 sesiones semanales</t>
  </si>
  <si>
    <t>En casa · experto capacitado</t>
  </si>
  <si>
    <t>Cada 2 semanas</t>
  </si>
  <si>
    <t>Por teléfono</t>
  </si>
  <si>
    <t>Quincenal</t>
  </si>
  <si>
    <t>12 meses</t>
  </si>
  <si>
    <t>En persona</t>
  </si>
  <si>
    <t>Semanal</t>
  </si>
  <si>
    <t>Propuesta (rechazada: repetir la evaluación)</t>
  </si>
  <si>
    <t>Acceso libre</t>
  </si>
  <si>
    <t>CR-001</t>
  </si>
  <si>
    <t>Cambio de ruta CR-001</t>
  </si>
  <si>
    <t>Actual</t>
  </si>
  <si>
    <t>Propuesta</t>
  </si>
  <si>
    <t>ID</t>
  </si>
  <si>
    <t>Alcance</t>
  </si>
  <si>
    <t>Enviado por</t>
  </si>
  <si>
    <t>Fecha</t>
  </si>
  <si>
    <t>Revisa</t>
  </si>
  <si>
    <t>Motivo</t>
  </si>
  <si>
    <t>Cambios</t>
  </si>
  <si>
    <t>Ruta actual</t>
  </si>
  <si>
    <t>Ruta propuesta</t>
  </si>
  <si>
    <t>Si se rechaza</t>
  </si>
  <si>
    <t>Enviado por (ID)</t>
  </si>
  <si>
    <t>Revisa (ID)</t>
  </si>
  <si>
    <t>Meses ruta actual</t>
  </si>
  <si>
    <t>Meses ruta propuesta</t>
  </si>
  <si>
    <t>Todos los territorios</t>
  </si>
  <si>
    <t>Las personas de P08 dicen que 3 mensajes por semana son demasiados. Probar con 1 vez por semana.</t>
  </si>
  <si>
    <t>Check-ins por WhatsApp: 3 veces por semana → 1 vez por semana</t>
  </si>
  <si>
    <t>Psicólogo clínico (Mensual) · Check-ins por WhatsApp (1 vez por semana) · Manilla de monitoreo (6 meses) · Videos psicoeducativos (Serie completa) · Técnicas guiadas (En audio) · Problem Management Plus (PM+) (5 sesiones semanales) · Grupo de apoyo en la vereda (Quincenal) · Cursos y cuentos (Curso con el experto)</t>
  </si>
  <si>
    <t>P08 se queda con la ruta actual.</t>
  </si>
  <si>
    <t>Asignado a</t>
  </si>
  <si>
    <t>Desde</t>
  </si>
  <si>
    <t>Asignado a (ID)</t>
  </si>
  <si>
    <t>Tablet</t>
  </si>
  <si>
    <t>Asignada</t>
  </si>
  <si>
    <t>Hoy TB-001 está asignada a Camila Restrepo (Salento): reasignar.</t>
  </si>
  <si>
    <t>MN-001</t>
  </si>
  <si>
    <t>Manilla</t>
  </si>
  <si>
    <t>Reservada</t>
  </si>
  <si>
    <t>Ruta pendiente de aprobación clínica: no entregar todavía.</t>
  </si>
  <si>
    <t>MN-002</t>
  </si>
  <si>
    <t>MN-003</t>
  </si>
  <si>
    <t>MN-004</t>
  </si>
  <si>
    <t>MN-005</t>
  </si>
  <si>
    <t>MN-006</t>
  </si>
  <si>
    <t>Ruta aprobada: entregar en el primer contacto.</t>
  </si>
  <si>
    <t>MN-007</t>
  </si>
  <si>
    <t>MN-008</t>
  </si>
  <si>
    <t>Pacientes</t>
  </si>
  <si>
    <t>Perfiles</t>
  </si>
  <si>
    <t>Crisis abiertas</t>
  </si>
  <si>
    <t>Check · 1 experto</t>
  </si>
  <si>
    <t>Check · 1 clínico</t>
  </si>
  <si>
    <t>Check · 1 observador</t>
  </si>
  <si>
    <t>Check · clínico con algo por aprobar</t>
  </si>
  <si>
    <t>Check · experto con alguien sin evaluar</t>
  </si>
  <si>
    <t>P01 · P05 · P09</t>
  </si>
  <si>
    <t>P04 · P08 · P12</t>
  </si>
  <si>
    <t>P07 · P11 · P15</t>
  </si>
  <si>
    <t>P10 · P14 · P03</t>
  </si>
  <si>
    <t>P13 · P02 · P06</t>
  </si>
  <si>
    <t>Regla</t>
  </si>
  <si>
    <t>Resultado</t>
  </si>
  <si>
    <t>Esperado</t>
  </si>
  <si>
    <t>Cuentas de Administrador (exactamente 1)</t>
  </si>
  <si>
    <t>Cuentas de Experto de campo (mínimo 5)</t>
  </si>
  <si>
    <t>Cuentas de Clínico (mínimo 5)</t>
  </si>
  <si>
    <t>Cuentas de Observador (mínimo 5)</t>
  </si>
  <si>
    <t>Cuentas de Paciente (mínimo 15)</t>
  </si>
  <si>
    <t>Perfiles distintos entre los evaluados (P01–P15)</t>
  </si>
  <si>
    <t>Pacientes cuyo territorio no existe</t>
  </si>
  <si>
    <t>Pacientes con perfil distinto al de sus respuestas</t>
  </si>
  <si>
    <t>Pacientes con un experto distinto al de su territorio</t>
  </si>
  <si>
    <t>Pacientes con un clínico distinto al de su territorio</t>
  </si>
  <si>
    <t>Pacientes menores de 18 años</t>
  </si>
  <si>
    <t>«Uso diario» mayor que «Teléfono»</t>
  </si>
  <si>
    <t>Pregunta 9 &gt; 0 sin estado Crisis</t>
  </si>
  <si>
    <t>Ruta con manilla sin autorización</t>
  </si>
  <si>
    <t>Estado que no coincide con la decisión clínica</t>
  </si>
  <si>
    <t>Activo o Inactivo que no cuadra con los días sin contacto (28)</t>
  </si>
  <si>
    <t>Contacto medido por un canal que no es el de su capacidad digital</t>
  </si>
  <si>
    <t>Territorios sin exactamente 1 experto, 1 clínico y 1 observador</t>
  </si>
  <si>
    <t>Territorios sin nada por aprobar o sin nadie por evaluar</t>
  </si>
  <si>
    <t>Correos repetidos</t>
  </si>
  <si>
    <t>IDs de cuenta repetidos</t>
  </si>
  <si>
    <t>Estados distintos usados (de los 7)</t>
  </si>
  <si>
    <t>validar.js revisa además: municipio de la base = territorio, metas 9/45, alerta dirigida al clínico del territorio, nombres del personal sin repetir, perfilListo, rutas y cursos de la matriz v2, cambios de ruta e intensidad creciente de la matriz.</t>
  </si>
  <si>
    <t>Hoja y columna</t>
  </si>
  <si>
    <t>Colección</t>
  </si>
  <si>
    <t>Campo</t>
  </si>
  <si>
    <t>Territorios</t>
  </si>
  <si>
    <t>territories</t>
  </si>
  <si>
    <t>name, dep, level, goal, ruralG, sixtyG, content, places</t>
  </si>
  <si>
    <t>Reemplaza los 108 territorios actuales. Sin «Contexto del sismo».</t>
  </si>
  <si>
    <t>Usuarios (todas las filas)</t>
  </si>
  <si>
    <t>accounts</t>
  </si>
  <si>
    <t>id, roleId, role, name, email, phone, terr, org, status</t>
  </si>
  <si>
    <t>roleId: admin · experto · clinico · observador · paciente. La contraseña se guarda con hash (bcrypt).</t>
  </si>
  <si>
    <t>Usuarios · Experto de campo</t>
  </si>
  <si>
    <t>experts</t>
  </si>
  <si>
    <t>id, accountId, name, phone, terr, target, training, tablet</t>
  </si>
  <si>
    <t>Un experto por territorio; target = 9. Reemplaza los 109 actuales.</t>
  </si>
  <si>
    <t>Usuarios · Clínico</t>
  </si>
  <si>
    <t>terr, liderClinica</t>
  </si>
  <si>
    <t>La Dra. Lucía Marín (umuvzhvkb) es la líder clínica: pasa de Quindío a Bogotá.</t>
  </si>
  <si>
    <t>Usuarios · Observador</t>
  </si>
  <si>
    <t>org, modules</t>
  </si>
  <si>
    <t>Rol único. Módulos: avance y resultados agregados de su territorio, y TEO.</t>
  </si>
  <si>
    <t>Usuarios · Paciente</t>
  </si>
  <si>
    <t>patientId, profileReady</t>
  </si>
  <si>
    <t>profileReady = perfilListo: verdadero solo con decisión clínica Aprobado. No guardar patientModules ni modulesEnabled.</t>
  </si>
  <si>
    <t>Pacientes · ID, código, datos de la base</t>
  </si>
  <si>
    <t>patients / people</t>
  </si>
  <si>
    <t>id, code, name, age, sexo, estrato, estadoCivil, terr, place</t>
  </si>
  <si>
    <t>Mismo formato de la migración actual (sm-ID, BUC-SM436). place = «Municipio, Departamento».</t>
  </si>
  <si>
    <t>Pacientes · experto y clínico</t>
  </si>
  <si>
    <t>patients / people / caseload</t>
  </si>
  <si>
    <t>expert, expertId, clin · caseload.clinicianId</t>
  </si>
  <si>
    <t>Siempre los del territorio.</t>
  </si>
  <si>
    <t>Pacientes · PHQ 1–9 y DIG 1–6</t>
  </si>
  <si>
    <t>patients / visits</t>
  </si>
  <si>
    <t>phq, phqDates · visits.phq, visits.dig, visits.code</t>
  </si>
  <si>
    <t>Los «Sin evaluación» no tienen visita ni respuestas.</t>
  </si>
  <si>
    <t>Pacientes · Perfil</t>
  </si>
  <si>
    <t>profile</t>
  </si>
  <si>
    <t>Vacío para «Sin evaluación».</t>
  </si>
  <si>
    <t>Flujo · Estado</t>
  </si>
  <si>
    <t>patients</t>
  </si>
  <si>
    <t>estado (campo nuevo propuesto)</t>
  </si>
  <si>
    <t>Los 7 estados. Lucho define el nombre del campo.</t>
  </si>
  <si>
    <t>Flujo · Visita programada</t>
  </si>
  <si>
    <t>worklist_items</t>
  </si>
  <si>
    <t>expertId, personId, at</t>
  </si>
  <si>
    <t>Solo para «Sin evaluación».</t>
  </si>
  <si>
    <t>Flujo · Evaluación</t>
  </si>
  <si>
    <t>visits / worklist_items</t>
  </si>
  <si>
    <t>at, duración, status = validada</t>
  </si>
  <si>
    <t>Todas duran 20 minutos o más.</t>
  </si>
  <si>
    <t>Flujo · Decisión clínica</t>
  </si>
  <si>
    <t>decisión, fecha, clínico, motivo</t>
  </si>
  <si>
    <t>Campo que define Lucho al implementar Aprobaciones.</t>
  </si>
  <si>
    <t>Flujo · Alerta de crisis</t>
  </si>
  <si>
    <t>alerts</t>
  </si>
  <si>
    <t>status = open, at, personId, clinicianId</t>
  </si>
  <si>
    <t>Va al clínico del territorio. Fase 2: sev = aguda o prioritaria.</t>
  </si>
  <si>
    <t>Flujo · Consentimiento</t>
  </si>
  <si>
    <t>consents</t>
  </si>
  <si>
    <t>personId, contacto, manilla, remision, at</t>
  </si>
  <si>
    <t>Flujo · Ruta</t>
  </si>
  <si>
    <t>(calculada)</t>
  </si>
  <si>
    <t>pathList(r, d)</t>
  </si>
  <si>
    <t>Es la ruta por defecto v2 del perfil: no requiere path_overrides.</t>
  </si>
  <si>
    <t>Flujo · Curso</t>
  </si>
  <si>
    <t>recursos</t>
  </si>
  <si>
    <t>personId, course, week</t>
  </si>
  <si>
    <t>Flujo · Seguimiento</t>
  </si>
  <si>
    <t>lastCheckin, adherence</t>
  </si>
  <si>
    <t>Cambios de ruta</t>
  </si>
  <si>
    <t>path_requests</t>
  </si>
  <si>
    <t>id, code, draft, status, at, by</t>
  </si>
  <si>
    <t>CR-001 pendiente para la líder clínica.</t>
  </si>
  <si>
    <t>Activos</t>
  </si>
  <si>
    <t>assets</t>
  </si>
  <si>
    <t>code, type, status, assignedTo, terr</t>
  </si>
  <si>
    <t>TB-001 hoy está asignada a Camila Restrepo (Salento): reasignar.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</si>
</sst>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7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color rgb="FFB42318"/>
    </font>
    <font>
      <b/>
      <color rgb="FFFFFFFF"/>
    </font>
    <font>
      <b/>
    </font>
    <font>
      <b/>
      <color rgb="FFB42318"/>
    </font>
  </fonts>
  <fills count="17">
    <fill>
      <patternFill patternType="none"/>
    </fill>
    <fill>
      <patternFill patternType="gray125"/>
    </fill>
    <fill>
      <patternFill patternType="solid">
        <fgColor rgb="FFFDCD22"/>
      </patternFill>
    </fill>
    <fill>
      <patternFill patternType="solid">
        <fgColor rgb="FF161413"/>
      </patternFill>
    </fill>
    <fill>
      <patternFill patternType="solid">
        <fgColor rgb="FFDCEDE2"/>
      </patternFill>
    </fill>
    <fill>
      <patternFill patternType="solid">
        <fgColor rgb="FFEEF2DF"/>
      </patternFill>
    </fill>
    <fill>
      <patternFill patternType="solid">
        <fgColor rgb="FFF9EBC8"/>
      </patternFill>
    </fill>
    <fill>
      <patternFill patternType="solid">
        <fgColor rgb="FFF7E2D2"/>
      </patternFill>
    </fill>
    <fill>
      <patternFill patternType="solid">
        <fgColor rgb="FFEFDCDA"/>
      </patternFill>
    </fill>
    <fill>
      <patternFill patternType="solid">
        <fgColor rgb="FFB42318"/>
      </patternFill>
    </fill>
    <fill>
      <patternFill patternType="solid">
        <fgColor rgb="FFE6E1D9"/>
      </patternFill>
    </fill>
    <fill>
      <patternFill patternType="solid">
        <fgColor rgb="FFD8FBE3"/>
      </patternFill>
    </fill>
    <fill>
      <patternFill patternType="solid">
        <fgColor rgb="FFFFE3F1"/>
      </patternFill>
    </fill>
    <fill>
      <patternFill patternType="solid">
        <fgColor rgb="FFE8EEF9"/>
      </patternFill>
    </fill>
    <fill>
      <patternFill patternType="solid">
        <fgColor rgb="FFF0ECE6"/>
      </patternFill>
    </fill>
    <fill>
      <patternFill patternType="solid">
        <fgColor rgb="FFFDE7E4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0" borderId="0" xfId="0" applyFont="1"/>
    <xf numFmtId="0" fontId="5" fillId="4" borderId="0" xfId="0" applyFont="1" applyFill="1"/>
    <xf numFmtId="0" fontId="0" fillId="4" borderId="0" xfId="0" applyFill="1" applyAlignment="1">
      <alignment vertical="center" wrapText="1"/>
    </xf>
    <xf numFmtId="0" fontId="5" fillId="5" borderId="0" xfId="0" applyFont="1" applyFill="1"/>
    <xf numFmtId="0" fontId="0" fillId="5" borderId="0" xfId="0" applyFill="1" applyAlignment="1">
      <alignment vertical="center" wrapText="1"/>
    </xf>
    <xf numFmtId="0" fontId="5" fillId="6" borderId="0" xfId="0" applyFont="1" applyFill="1"/>
    <xf numFmtId="0" fontId="0" fillId="6" borderId="0" xfId="0" applyFill="1" applyAlignment="1">
      <alignment vertical="center" wrapText="1"/>
    </xf>
    <xf numFmtId="0" fontId="5" fillId="7" borderId="0" xfId="0" applyFont="1" applyFill="1"/>
    <xf numFmtId="0" fontId="0" fillId="7" borderId="0" xfId="0" applyFill="1" applyAlignment="1">
      <alignment vertical="center" wrapText="1"/>
    </xf>
    <xf numFmtId="0" fontId="5" fillId="8" borderId="0" xfId="0" applyFont="1" applyFill="1"/>
    <xf numFmtId="0" fontId="0" fillId="8" borderId="0" xfId="0" applyFill="1" applyAlignment="1">
      <alignment vertical="center" wrapText="1"/>
    </xf>
    <xf numFmtId="0" fontId="4" fillId="9" borderId="0" xfId="0" applyFont="1" applyFill="1" applyAlignment="1">
      <alignment vertical="center" wrapText="1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164" fontId="0" fillId="0" borderId="0" xfId="0" applyNumberFormat="1"/>
    <xf numFmtId="164" fontId="4" fillId="3" borderId="0" xfId="0" applyNumberFormat="1" applyFont="1" applyFill="1" applyAlignment="1">
      <alignment vertical="center" wrapText="1"/>
    </xf>
    <xf numFmtId="0" fontId="0" fillId="15" borderId="0" xfId="0" applyFill="1"/>
    <xf numFmtId="0" fontId="6" fillId="15" borderId="0" xfId="0" applyFont="1" applyFill="1"/>
    <xf numFmtId="0" fontId="0" fillId="16" borderId="0" xfId="0" applyFill="1"/>
    <xf numFmtId="165" fontId="0" fillId="0" borderId="0" xfId="0" applyNumberFormat="1"/>
    <xf numFmtId="165" fontId="4" fillId="3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8">
    <dxf>
      <font>
        <b/>
        <color rgb="FFB42318"/>
      </font>
      <fill>
        <patternFill patternType="solid">
          <bgColor rgb="FFFDE7E4"/>
        </patternFill>
      </fill>
    </dxf>
    <dxf>
      <font>
        <color rgb="FF1E6B3A"/>
      </font>
      <fill>
        <patternFill patternType="solid">
          <bgColor rgb="FFD8FBE3"/>
        </patternFill>
      </fill>
    </dxf>
    <dxf>
      <font>
        <b/>
        <color rgb="FFB42318"/>
      </font>
      <fill>
        <patternFill patternType="solid">
          <bgColor rgb="FFFDE7E4"/>
        </patternFill>
      </fill>
    </dxf>
    <dxf>
      <font>
        <color rgb="FF1E6B3A"/>
      </font>
      <fill>
        <patternFill patternType="solid">
          <bgColor rgb="FFD8FBE3"/>
        </patternFill>
      </fill>
    </dxf>
    <dxf>
      <font>
        <b/>
        <color rgb="FFB42318"/>
      </font>
      <fill>
        <patternFill patternType="solid">
          <bgColor rgb="FFFDE7E4"/>
        </patternFill>
      </fill>
    </dxf>
    <dxf>
      <font>
        <color rgb="FF1E6B3A"/>
      </font>
      <fill>
        <patternFill patternType="solid">
          <bgColor rgb="FFD8FBE3"/>
        </patternFill>
      </fill>
    </dxf>
    <dxf>
      <font>
        <b/>
        <color rgb="FFB42318"/>
      </font>
      <fill>
        <patternFill patternType="solid">
          <bgColor rgb="FFFDE7E4"/>
        </patternFill>
      </fill>
    </dxf>
    <dxf>
      <font>
        <color rgb="FF1E6B3A"/>
      </font>
      <fill>
        <patternFill patternType="solid">
          <bgColor rgb="FFD8FB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3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3</v>
      </c>
    </row>
    <row r="11" spans="1:1" x14ac:dyDescent="0.25">
      <c r="A11" s="3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  <row r="17" spans="1:1" x14ac:dyDescent="0.25">
      <c r="A17" s="2" t="s">
        <v>3</v>
      </c>
    </row>
    <row r="18" spans="1:1" x14ac:dyDescent="0.25">
      <c r="A18" s="3" t="s">
        <v>15</v>
      </c>
    </row>
    <row r="19" spans="1:1" x14ac:dyDescent="0.25">
      <c r="A19" s="2" t="s">
        <v>16</v>
      </c>
    </row>
    <row r="20" spans="1:1" x14ac:dyDescent="0.25">
      <c r="A20" s="4" t="s">
        <v>17</v>
      </c>
    </row>
    <row r="21" spans="1:1" x14ac:dyDescent="0.25">
      <c r="A21" s="2" t="s">
        <v>3</v>
      </c>
    </row>
    <row r="22" spans="1:1" x14ac:dyDescent="0.25">
      <c r="A22" s="3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2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  <row r="29" spans="1:1" x14ac:dyDescent="0.25">
      <c r="A29" s="2" t="s">
        <v>25</v>
      </c>
    </row>
    <row r="30" spans="1:1" x14ac:dyDescent="0.25">
      <c r="A30" s="2" t="s">
        <v>26</v>
      </c>
    </row>
    <row r="31" spans="1:1" x14ac:dyDescent="0.25">
      <c r="A31" s="2" t="s">
        <v>27</v>
      </c>
    </row>
    <row r="32" spans="1:1" x14ac:dyDescent="0.25">
      <c r="A32" s="2" t="s">
        <v>3</v>
      </c>
    </row>
    <row r="33" spans="1:1" x14ac:dyDescent="0.25">
      <c r="A33" s="3" t="s">
        <v>28</v>
      </c>
    </row>
    <row r="34" spans="1:1" x14ac:dyDescent="0.25">
      <c r="A34" s="2" t="s">
        <v>29</v>
      </c>
    </row>
    <row r="35" spans="1:1" x14ac:dyDescent="0.25">
      <c r="A35" s="2" t="s">
        <v>30</v>
      </c>
    </row>
    <row r="36" spans="1:1" x14ac:dyDescent="0.25">
      <c r="A36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10" customWidth="1"/>
    <col min="4" max="4" width="11" customWidth="1"/>
    <col min="5" max="5" width="10" customWidth="1"/>
    <col min="6" max="6" width="22" style="2" customWidth="1"/>
    <col min="8" max="8" width="75" style="2" customWidth="1"/>
    <col min="9" max="9" width="7" customWidth="1"/>
    <col min="10" max="10" width="34" style="2" customWidth="1"/>
    <col min="11" max="11" width="32" style="2" customWidth="1"/>
    <col min="12" max="12" width="12" customWidth="1"/>
  </cols>
  <sheetData>
    <row r="1" ht="32" customHeight="1" spans="1:12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6" t="s">
        <v>37</v>
      </c>
      <c r="G1" s="5" t="s">
        <v>38</v>
      </c>
      <c r="H1" s="6" t="s">
        <v>39</v>
      </c>
      <c r="I1" s="5" t="s">
        <v>40</v>
      </c>
      <c r="J1" s="6" t="s">
        <v>41</v>
      </c>
      <c r="K1" s="6" t="s">
        <v>42</v>
      </c>
      <c r="L1" s="5" t="s">
        <v>43</v>
      </c>
    </row>
    <row r="2" spans="1:12" x14ac:dyDescent="0.25">
      <c r="A2" t="s">
        <v>44</v>
      </c>
      <c r="B2" s="7" t="s">
        <v>45</v>
      </c>
      <c r="C2" t="s">
        <v>46</v>
      </c>
      <c r="D2" t="s">
        <v>47</v>
      </c>
      <c r="E2" t="s">
        <v>46</v>
      </c>
      <c r="F2" s="2" t="s">
        <v>48</v>
      </c>
      <c r="G2">
        <v>5</v>
      </c>
      <c r="H2" s="2" t="s">
        <v>49</v>
      </c>
      <c r="I2">
        <v>3</v>
      </c>
      <c r="J2" s="2" t="s">
        <v>50</v>
      </c>
      <c r="K2" s="2" t="s">
        <v>51</v>
      </c>
      <c r="L2" t="s">
        <v>52</v>
      </c>
    </row>
    <row r="3" spans="1:12" x14ac:dyDescent="0.25">
      <c r="A3" t="s">
        <v>53</v>
      </c>
      <c r="B3" s="7" t="s">
        <v>45</v>
      </c>
      <c r="C3" t="s">
        <v>46</v>
      </c>
      <c r="D3" t="s">
        <v>54</v>
      </c>
      <c r="E3" t="s">
        <v>55</v>
      </c>
      <c r="F3" s="2" t="s">
        <v>56</v>
      </c>
      <c r="G3">
        <v>5</v>
      </c>
      <c r="H3" s="2" t="s">
        <v>57</v>
      </c>
      <c r="I3">
        <v>3</v>
      </c>
      <c r="J3" s="2" t="s">
        <v>58</v>
      </c>
      <c r="K3" s="2" t="s">
        <v>59</v>
      </c>
      <c r="L3" t="s">
        <v>60</v>
      </c>
    </row>
    <row r="4" spans="1:12" x14ac:dyDescent="0.25">
      <c r="A4" t="s">
        <v>61</v>
      </c>
      <c r="B4" s="7" t="s">
        <v>45</v>
      </c>
      <c r="C4" t="s">
        <v>46</v>
      </c>
      <c r="D4" t="s">
        <v>62</v>
      </c>
      <c r="E4" t="s">
        <v>63</v>
      </c>
      <c r="F4" s="2" t="s">
        <v>64</v>
      </c>
      <c r="G4">
        <v>6</v>
      </c>
      <c r="H4" s="2" t="s">
        <v>65</v>
      </c>
      <c r="I4">
        <v>3</v>
      </c>
      <c r="J4" s="2" t="s">
        <v>66</v>
      </c>
      <c r="K4" s="2" t="s">
        <v>67</v>
      </c>
      <c r="L4" t="s">
        <v>68</v>
      </c>
    </row>
    <row r="5" spans="1:12" x14ac:dyDescent="0.25">
      <c r="A5" t="s">
        <v>69</v>
      </c>
      <c r="B5" s="8" t="s">
        <v>70</v>
      </c>
      <c r="C5" t="s">
        <v>71</v>
      </c>
      <c r="D5" t="s">
        <v>47</v>
      </c>
      <c r="E5" t="s">
        <v>46</v>
      </c>
      <c r="F5" s="2" t="s">
        <v>48</v>
      </c>
      <c r="G5">
        <v>5</v>
      </c>
      <c r="H5" s="2" t="s">
        <v>72</v>
      </c>
      <c r="I5">
        <v>3</v>
      </c>
      <c r="J5" s="2" t="s">
        <v>50</v>
      </c>
      <c r="K5" s="2" t="s">
        <v>73</v>
      </c>
      <c r="L5" t="s">
        <v>60</v>
      </c>
    </row>
    <row r="6" spans="1:12" x14ac:dyDescent="0.25">
      <c r="A6" t="s">
        <v>74</v>
      </c>
      <c r="B6" s="8" t="s">
        <v>70</v>
      </c>
      <c r="C6" t="s">
        <v>71</v>
      </c>
      <c r="D6" t="s">
        <v>54</v>
      </c>
      <c r="E6" t="s">
        <v>55</v>
      </c>
      <c r="F6" s="2" t="s">
        <v>56</v>
      </c>
      <c r="G6">
        <v>6</v>
      </c>
      <c r="H6" s="2" t="s">
        <v>75</v>
      </c>
      <c r="I6">
        <v>3</v>
      </c>
      <c r="J6" s="2" t="s">
        <v>58</v>
      </c>
      <c r="K6" s="2" t="s">
        <v>76</v>
      </c>
      <c r="L6" t="s">
        <v>60</v>
      </c>
    </row>
    <row r="7" spans="1:12" x14ac:dyDescent="0.25">
      <c r="A7" t="s">
        <v>77</v>
      </c>
      <c r="B7" s="8" t="s">
        <v>70</v>
      </c>
      <c r="C7" t="s">
        <v>71</v>
      </c>
      <c r="D7" t="s">
        <v>62</v>
      </c>
      <c r="E7" t="s">
        <v>63</v>
      </c>
      <c r="F7" s="2" t="s">
        <v>64</v>
      </c>
      <c r="G7">
        <v>7</v>
      </c>
      <c r="H7" s="2" t="s">
        <v>78</v>
      </c>
      <c r="I7">
        <v>3</v>
      </c>
      <c r="J7" s="2" t="s">
        <v>66</v>
      </c>
      <c r="K7" s="2" t="s">
        <v>79</v>
      </c>
      <c r="L7" t="s">
        <v>68</v>
      </c>
    </row>
    <row r="8" spans="1:12" x14ac:dyDescent="0.25">
      <c r="A8" t="s">
        <v>80</v>
      </c>
      <c r="B8" s="9" t="s">
        <v>81</v>
      </c>
      <c r="C8" t="s">
        <v>82</v>
      </c>
      <c r="D8" t="s">
        <v>47</v>
      </c>
      <c r="E8" t="s">
        <v>46</v>
      </c>
      <c r="F8" s="2" t="s">
        <v>48</v>
      </c>
      <c r="G8">
        <v>8</v>
      </c>
      <c r="H8" s="2" t="s">
        <v>83</v>
      </c>
      <c r="I8">
        <v>6</v>
      </c>
      <c r="J8" s="2" t="s">
        <v>50</v>
      </c>
      <c r="K8" s="2" t="s">
        <v>84</v>
      </c>
      <c r="L8" t="s">
        <v>60</v>
      </c>
    </row>
    <row r="9" spans="1:12" x14ac:dyDescent="0.25">
      <c r="A9" t="s">
        <v>85</v>
      </c>
      <c r="B9" s="9" t="s">
        <v>81</v>
      </c>
      <c r="C9" t="s">
        <v>82</v>
      </c>
      <c r="D9" t="s">
        <v>54</v>
      </c>
      <c r="E9" t="s">
        <v>55</v>
      </c>
      <c r="F9" s="2" t="s">
        <v>56</v>
      </c>
      <c r="G9">
        <v>8</v>
      </c>
      <c r="H9" s="2" t="s">
        <v>86</v>
      </c>
      <c r="I9">
        <v>6</v>
      </c>
      <c r="J9" s="2" t="s">
        <v>87</v>
      </c>
      <c r="K9" s="2" t="s">
        <v>88</v>
      </c>
      <c r="L9" t="s">
        <v>68</v>
      </c>
    </row>
    <row r="10" spans="1:12" x14ac:dyDescent="0.25">
      <c r="A10" t="s">
        <v>89</v>
      </c>
      <c r="B10" s="9" t="s">
        <v>81</v>
      </c>
      <c r="C10" t="s">
        <v>82</v>
      </c>
      <c r="D10" t="s">
        <v>62</v>
      </c>
      <c r="E10" t="s">
        <v>63</v>
      </c>
      <c r="F10" s="2" t="s">
        <v>64</v>
      </c>
      <c r="G10">
        <v>9</v>
      </c>
      <c r="H10" s="2" t="s">
        <v>90</v>
      </c>
      <c r="I10">
        <v>6</v>
      </c>
      <c r="J10" s="2" t="s">
        <v>91</v>
      </c>
      <c r="K10" s="2" t="s">
        <v>92</v>
      </c>
      <c r="L10" t="s">
        <v>68</v>
      </c>
    </row>
    <row r="11" spans="1:12" x14ac:dyDescent="0.25">
      <c r="A11" t="s">
        <v>93</v>
      </c>
      <c r="B11" s="10" t="s">
        <v>94</v>
      </c>
      <c r="C11" t="s">
        <v>95</v>
      </c>
      <c r="D11" t="s">
        <v>47</v>
      </c>
      <c r="E11" t="s">
        <v>46</v>
      </c>
      <c r="F11" s="2" t="s">
        <v>48</v>
      </c>
      <c r="G11">
        <v>8</v>
      </c>
      <c r="H11" s="2" t="s">
        <v>96</v>
      </c>
      <c r="I11">
        <v>12</v>
      </c>
      <c r="J11" s="2" t="s">
        <v>97</v>
      </c>
      <c r="K11" s="2" t="s">
        <v>98</v>
      </c>
      <c r="L11" t="s">
        <v>99</v>
      </c>
    </row>
    <row r="12" spans="1:12" x14ac:dyDescent="0.25">
      <c r="A12" t="s">
        <v>100</v>
      </c>
      <c r="B12" s="10" t="s">
        <v>94</v>
      </c>
      <c r="C12" t="s">
        <v>95</v>
      </c>
      <c r="D12" t="s">
        <v>54</v>
      </c>
      <c r="E12" t="s">
        <v>55</v>
      </c>
      <c r="F12" s="2" t="s">
        <v>56</v>
      </c>
      <c r="G12">
        <v>9</v>
      </c>
      <c r="H12" s="2" t="s">
        <v>101</v>
      </c>
      <c r="I12">
        <v>12</v>
      </c>
      <c r="J12" s="2" t="s">
        <v>102</v>
      </c>
      <c r="K12" s="2" t="s">
        <v>103</v>
      </c>
      <c r="L12" t="s">
        <v>104</v>
      </c>
    </row>
    <row r="13" spans="1:12" x14ac:dyDescent="0.25">
      <c r="A13" t="s">
        <v>105</v>
      </c>
      <c r="B13" s="10" t="s">
        <v>94</v>
      </c>
      <c r="C13" t="s">
        <v>95</v>
      </c>
      <c r="D13" t="s">
        <v>62</v>
      </c>
      <c r="E13" t="s">
        <v>63</v>
      </c>
      <c r="F13" s="2" t="s">
        <v>64</v>
      </c>
      <c r="G13">
        <v>10</v>
      </c>
      <c r="H13" s="2" t="s">
        <v>106</v>
      </c>
      <c r="I13">
        <v>12</v>
      </c>
      <c r="J13" s="2" t="s">
        <v>107</v>
      </c>
      <c r="K13" s="2" t="s">
        <v>108</v>
      </c>
      <c r="L13" t="s">
        <v>60</v>
      </c>
    </row>
    <row r="14" spans="1:12" x14ac:dyDescent="0.25">
      <c r="A14" t="s">
        <v>109</v>
      </c>
      <c r="B14" s="11" t="s">
        <v>110</v>
      </c>
      <c r="C14" t="s">
        <v>111</v>
      </c>
      <c r="D14" t="s">
        <v>47</v>
      </c>
      <c r="E14" t="s">
        <v>46</v>
      </c>
      <c r="F14" s="2" t="s">
        <v>48</v>
      </c>
      <c r="G14">
        <v>6</v>
      </c>
      <c r="H14" s="2" t="s">
        <v>112</v>
      </c>
      <c r="I14">
        <v>12</v>
      </c>
      <c r="J14" s="2" t="s">
        <v>97</v>
      </c>
      <c r="K14" s="2" t="s">
        <v>113</v>
      </c>
      <c r="L14" t="s">
        <v>114</v>
      </c>
    </row>
    <row r="15" spans="1:12" x14ac:dyDescent="0.25">
      <c r="A15" t="s">
        <v>115</v>
      </c>
      <c r="B15" s="11" t="s">
        <v>110</v>
      </c>
      <c r="C15" t="s">
        <v>111</v>
      </c>
      <c r="D15" t="s">
        <v>54</v>
      </c>
      <c r="E15" t="s">
        <v>55</v>
      </c>
      <c r="F15" s="2" t="s">
        <v>56</v>
      </c>
      <c r="G15">
        <v>7</v>
      </c>
      <c r="H15" s="2" t="s">
        <v>116</v>
      </c>
      <c r="I15">
        <v>12</v>
      </c>
      <c r="J15" s="2" t="s">
        <v>102</v>
      </c>
      <c r="K15" s="2" t="s">
        <v>117</v>
      </c>
      <c r="L15" t="s">
        <v>114</v>
      </c>
    </row>
    <row r="16" spans="1:12" x14ac:dyDescent="0.25">
      <c r="A16" t="s">
        <v>118</v>
      </c>
      <c r="B16" s="11" t="s">
        <v>110</v>
      </c>
      <c r="C16" t="s">
        <v>111</v>
      </c>
      <c r="D16" t="s">
        <v>62</v>
      </c>
      <c r="E16" t="s">
        <v>63</v>
      </c>
      <c r="F16" s="2" t="s">
        <v>64</v>
      </c>
      <c r="G16">
        <v>8</v>
      </c>
      <c r="H16" s="2" t="s">
        <v>119</v>
      </c>
      <c r="I16">
        <v>12</v>
      </c>
      <c r="J16" s="2" t="s">
        <v>107</v>
      </c>
      <c r="K16" s="2" t="s">
        <v>120</v>
      </c>
      <c r="L16" t="s">
        <v>68</v>
      </c>
    </row>
    <row r="19" spans="1:1" x14ac:dyDescent="0.25">
      <c r="A19" s="12" t="s">
        <v>121</v>
      </c>
    </row>
    <row r="20" spans="2:10" x14ac:dyDescent="0.25">
      <c r="B20" s="5" t="s">
        <v>122</v>
      </c>
      <c r="F20" s="5" t="s">
        <v>123</v>
      </c>
      <c r="H20" s="5" t="s">
        <v>124</v>
      </c>
      <c r="J20" s="5" t="s">
        <v>125</v>
      </c>
    </row>
    <row r="21" ht="30" customHeight="1" spans="2:10" x14ac:dyDescent="0.25">
      <c r="B21" s="13" t="s">
        <v>126</v>
      </c>
      <c r="F21" s="14" t="s">
        <v>127</v>
      </c>
      <c r="H21" s="14" t="s">
        <v>128</v>
      </c>
      <c r="J21" s="14" t="s">
        <v>129</v>
      </c>
    </row>
    <row r="22" ht="30" customHeight="1" spans="2:10" x14ac:dyDescent="0.25">
      <c r="B22" s="15" t="s">
        <v>130</v>
      </c>
      <c r="F22" s="16" t="s">
        <v>131</v>
      </c>
      <c r="H22" s="16" t="s">
        <v>132</v>
      </c>
      <c r="J22" s="16" t="s">
        <v>133</v>
      </c>
    </row>
    <row r="23" ht="30" customHeight="1" spans="2:10" x14ac:dyDescent="0.25">
      <c r="B23" s="17" t="s">
        <v>134</v>
      </c>
      <c r="F23" s="18" t="s">
        <v>135</v>
      </c>
      <c r="H23" s="18" t="s">
        <v>136</v>
      </c>
      <c r="J23" s="18" t="s">
        <v>137</v>
      </c>
    </row>
    <row r="24" ht="30" customHeight="1" spans="2:10" x14ac:dyDescent="0.25">
      <c r="B24" s="19" t="s">
        <v>138</v>
      </c>
      <c r="F24" s="20" t="s">
        <v>139</v>
      </c>
      <c r="H24" s="20" t="s">
        <v>140</v>
      </c>
      <c r="J24" s="20" t="s">
        <v>141</v>
      </c>
    </row>
    <row r="25" ht="30" customHeight="1" spans="2:10" x14ac:dyDescent="0.25">
      <c r="B25" s="21" t="s">
        <v>142</v>
      </c>
      <c r="F25" s="22" t="s">
        <v>143</v>
      </c>
      <c r="H25" s="22" t="s">
        <v>144</v>
      </c>
      <c r="J25" s="22" t="s">
        <v>145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146</v>
      </c>
    </row>
    <row r="2" spans="1:1" x14ac:dyDescent="0.25">
      <c r="A2" s="2" t="s">
        <v>3</v>
      </c>
    </row>
    <row r="3" spans="1:1" x14ac:dyDescent="0.25">
      <c r="A3" s="3" t="s">
        <v>147</v>
      </c>
    </row>
    <row r="4" spans="1:1" x14ac:dyDescent="0.25">
      <c r="A4" s="2" t="s">
        <v>148</v>
      </c>
    </row>
    <row r="5" spans="1:1" x14ac:dyDescent="0.25">
      <c r="A5" s="2" t="s">
        <v>149</v>
      </c>
    </row>
    <row r="6" spans="1:1" x14ac:dyDescent="0.25">
      <c r="A6" s="2" t="s">
        <v>150</v>
      </c>
    </row>
    <row r="7" spans="1:1" x14ac:dyDescent="0.25">
      <c r="A7" s="2" t="s">
        <v>151</v>
      </c>
    </row>
    <row r="8" spans="1:1" x14ac:dyDescent="0.25">
      <c r="A8" s="2" t="s">
        <v>152</v>
      </c>
    </row>
    <row r="9" spans="1:1" x14ac:dyDescent="0.25">
      <c r="A9" s="2" t="s">
        <v>153</v>
      </c>
    </row>
    <row r="10" spans="1:1" x14ac:dyDescent="0.25">
      <c r="A10" s="2" t="s">
        <v>3</v>
      </c>
    </row>
    <row r="11" spans="1:1" x14ac:dyDescent="0.25">
      <c r="A11" s="3" t="s">
        <v>154</v>
      </c>
    </row>
    <row r="12" spans="1:1" x14ac:dyDescent="0.25">
      <c r="A12" s="2" t="s">
        <v>155</v>
      </c>
    </row>
    <row r="13" spans="1:1" x14ac:dyDescent="0.25">
      <c r="A13" s="2" t="s">
        <v>156</v>
      </c>
    </row>
    <row r="14" spans="1:1" x14ac:dyDescent="0.25">
      <c r="A14" s="2" t="s">
        <v>157</v>
      </c>
    </row>
    <row r="15" spans="1:1" x14ac:dyDescent="0.25">
      <c r="A15" s="2" t="s">
        <v>3</v>
      </c>
    </row>
    <row r="16" spans="1:1" x14ac:dyDescent="0.25">
      <c r="A16" s="3" t="s">
        <v>158</v>
      </c>
    </row>
    <row r="17" spans="1:1" x14ac:dyDescent="0.25">
      <c r="A17" s="2" t="s">
        <v>159</v>
      </c>
    </row>
    <row r="18" spans="1:1" x14ac:dyDescent="0.25">
      <c r="A18" s="2" t="s">
        <v>160</v>
      </c>
    </row>
    <row r="19" spans="1:1" x14ac:dyDescent="0.25">
      <c r="A19" s="2" t="s">
        <v>161</v>
      </c>
    </row>
    <row r="20" spans="1:1" x14ac:dyDescent="0.25">
      <c r="A20" s="2" t="s">
        <v>3</v>
      </c>
    </row>
    <row r="21" spans="1:1" x14ac:dyDescent="0.25">
      <c r="A21" s="3" t="s">
        <v>162</v>
      </c>
    </row>
    <row r="22" spans="1:1" x14ac:dyDescent="0.25">
      <c r="A22" s="2" t="s">
        <v>163</v>
      </c>
    </row>
    <row r="23" spans="1:1" x14ac:dyDescent="0.25">
      <c r="A23" s="2" t="s">
        <v>164</v>
      </c>
    </row>
    <row r="24" spans="1:1" x14ac:dyDescent="0.25">
      <c r="A24" s="2" t="s">
        <v>165</v>
      </c>
    </row>
    <row r="25" spans="1:1" x14ac:dyDescent="0.25">
      <c r="A25" s="2" t="s">
        <v>3</v>
      </c>
    </row>
    <row r="26" spans="1:1" x14ac:dyDescent="0.25">
      <c r="A26" s="3" t="s">
        <v>166</v>
      </c>
    </row>
    <row r="27" spans="1:1" x14ac:dyDescent="0.25">
      <c r="A27" s="2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5" customWidth="1"/>
    <col min="3" max="3" width="16" customWidth="1"/>
    <col min="4" max="4" width="18" customWidth="1"/>
    <col min="5" max="5" width="10" customWidth="1"/>
    <col min="8" max="8" width="30" style="2" customWidth="1"/>
    <col min="9" max="9" width="26" customWidth="1"/>
    <col min="10" max="10" width="32" customWidth="1"/>
    <col min="11" max="11" width="34" customWidth="1"/>
    <col min="12" max="12" width="32" customWidth="1"/>
    <col min="13" max="15" width="22" customWidth="1"/>
  </cols>
  <sheetData>
    <row r="1" ht="32" customHeight="1" spans="1:15" x14ac:dyDescent="0.25">
      <c r="A1" s="5" t="s">
        <v>168</v>
      </c>
      <c r="B1" s="5" t="s">
        <v>169</v>
      </c>
      <c r="C1" s="5" t="s">
        <v>170</v>
      </c>
      <c r="D1" s="5" t="s">
        <v>171</v>
      </c>
      <c r="E1" s="5" t="s">
        <v>172</v>
      </c>
      <c r="F1" s="5" t="s">
        <v>173</v>
      </c>
      <c r="G1" s="5" t="s">
        <v>174</v>
      </c>
      <c r="H1" s="6" t="s">
        <v>175</v>
      </c>
      <c r="I1" s="5" t="s">
        <v>176</v>
      </c>
      <c r="J1" s="5" t="s">
        <v>177</v>
      </c>
      <c r="K1" s="5" t="s">
        <v>178</v>
      </c>
      <c r="L1" s="5" t="s">
        <v>179</v>
      </c>
      <c r="M1" s="5" t="s">
        <v>180</v>
      </c>
      <c r="N1" s="5" t="s">
        <v>181</v>
      </c>
      <c r="O1" s="5" t="s">
        <v>182</v>
      </c>
    </row>
    <row r="2" spans="1:15" x14ac:dyDescent="0.25">
      <c r="A2" t="s">
        <v>183</v>
      </c>
      <c r="B2" t="s">
        <v>184</v>
      </c>
      <c r="C2" t="s">
        <v>185</v>
      </c>
      <c r="D2" t="s">
        <v>186</v>
      </c>
      <c r="E2">
        <v>50</v>
      </c>
      <c r="F2">
        <v>0</v>
      </c>
      <c r="G2">
        <v>0</v>
      </c>
      <c r="H2" s="2" t="s">
        <v>187</v>
      </c>
      <c r="I2" t="s">
        <v>188</v>
      </c>
      <c r="J2" t="s">
        <v>189</v>
      </c>
      <c r="K2" t="s">
        <v>190</v>
      </c>
      <c r="L2" t="s">
        <v>191</v>
      </c>
      <c r="M2" t="s">
        <v>192</v>
      </c>
      <c r="N2" t="s">
        <v>193</v>
      </c>
      <c r="O2" t="s">
        <v>194</v>
      </c>
    </row>
    <row r="3" spans="1:15" x14ac:dyDescent="0.25">
      <c r="A3" t="s">
        <v>195</v>
      </c>
      <c r="B3" t="s">
        <v>196</v>
      </c>
      <c r="C3" t="s">
        <v>185</v>
      </c>
      <c r="D3" t="s">
        <v>186</v>
      </c>
      <c r="E3">
        <v>50</v>
      </c>
      <c r="F3">
        <v>0</v>
      </c>
      <c r="G3">
        <v>0</v>
      </c>
      <c r="H3" s="2" t="s">
        <v>187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  <c r="N3" t="s">
        <v>202</v>
      </c>
      <c r="O3" t="s">
        <v>203</v>
      </c>
    </row>
    <row r="4" spans="1:15" x14ac:dyDescent="0.25">
      <c r="A4" t="s">
        <v>204</v>
      </c>
      <c r="B4" t="s">
        <v>205</v>
      </c>
      <c r="C4" t="s">
        <v>206</v>
      </c>
      <c r="D4" t="s">
        <v>186</v>
      </c>
      <c r="E4">
        <v>50</v>
      </c>
      <c r="F4">
        <v>0</v>
      </c>
      <c r="G4">
        <v>0</v>
      </c>
      <c r="H4" s="2" t="s">
        <v>187</v>
      </c>
      <c r="I4" t="s">
        <v>207</v>
      </c>
      <c r="J4" t="s">
        <v>208</v>
      </c>
      <c r="K4" t="s">
        <v>209</v>
      </c>
      <c r="L4" t="s">
        <v>210</v>
      </c>
      <c r="M4" t="s">
        <v>211</v>
      </c>
      <c r="N4" t="s">
        <v>212</v>
      </c>
      <c r="O4" t="s">
        <v>213</v>
      </c>
    </row>
    <row r="5" spans="1:15" x14ac:dyDescent="0.25">
      <c r="A5" t="s">
        <v>214</v>
      </c>
      <c r="B5" t="s">
        <v>215</v>
      </c>
      <c r="C5" t="s">
        <v>216</v>
      </c>
      <c r="D5" t="s">
        <v>186</v>
      </c>
      <c r="E5">
        <v>50</v>
      </c>
      <c r="F5">
        <v>0</v>
      </c>
      <c r="G5">
        <v>0</v>
      </c>
      <c r="H5" s="2" t="s">
        <v>187</v>
      </c>
      <c r="I5" t="s">
        <v>217</v>
      </c>
      <c r="J5" t="s">
        <v>218</v>
      </c>
      <c r="K5" t="s">
        <v>219</v>
      </c>
      <c r="L5" t="s">
        <v>220</v>
      </c>
      <c r="M5" t="s">
        <v>221</v>
      </c>
      <c r="N5" t="s">
        <v>222</v>
      </c>
      <c r="O5" t="s">
        <v>223</v>
      </c>
    </row>
    <row r="6" spans="1:15" x14ac:dyDescent="0.25">
      <c r="A6" t="s">
        <v>224</v>
      </c>
      <c r="B6" t="s">
        <v>225</v>
      </c>
      <c r="C6" t="s">
        <v>226</v>
      </c>
      <c r="D6" t="s">
        <v>186</v>
      </c>
      <c r="E6">
        <v>50</v>
      </c>
      <c r="F6">
        <v>0</v>
      </c>
      <c r="G6">
        <v>0</v>
      </c>
      <c r="H6" s="2" t="s">
        <v>187</v>
      </c>
      <c r="I6" t="s">
        <v>227</v>
      </c>
      <c r="J6" t="s">
        <v>228</v>
      </c>
      <c r="K6" t="s">
        <v>229</v>
      </c>
      <c r="L6" t="s">
        <v>230</v>
      </c>
      <c r="M6" t="s">
        <v>231</v>
      </c>
      <c r="N6" t="s">
        <v>232</v>
      </c>
      <c r="O6" t="s">
        <v>233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32" customWidth="1"/>
    <col min="4" max="4" width="34" customWidth="1"/>
    <col min="5" max="6" width="14" customWidth="1"/>
    <col min="7" max="7" width="26" customWidth="1"/>
    <col min="9" max="9" width="10" customWidth="1"/>
    <col min="10" max="10" width="20" customWidth="1"/>
    <col min="14" max="14" width="11" customWidth="1"/>
    <col min="15" max="15" width="34" style="2" customWidth="1"/>
    <col min="16" max="17" width="11" customWidth="1"/>
    <col min="18" max="18" width="30" style="2" customWidth="1"/>
    <col min="19" max="19" width="40" style="2" customWidth="1"/>
    <col min="20" max="20" width="18" customWidth="1"/>
  </cols>
  <sheetData>
    <row r="1" ht="32" customHeight="1" spans="1:20" x14ac:dyDescent="0.25">
      <c r="A1" s="5" t="s">
        <v>234</v>
      </c>
      <c r="B1" s="5" t="s">
        <v>235</v>
      </c>
      <c r="C1" s="5" t="s">
        <v>236</v>
      </c>
      <c r="D1" s="5" t="s">
        <v>237</v>
      </c>
      <c r="E1" s="5" t="s">
        <v>238</v>
      </c>
      <c r="F1" s="5" t="s">
        <v>169</v>
      </c>
      <c r="G1" s="5" t="s">
        <v>239</v>
      </c>
      <c r="H1" s="5" t="s">
        <v>240</v>
      </c>
      <c r="I1" s="5" t="s">
        <v>241</v>
      </c>
      <c r="J1" s="5" t="s">
        <v>242</v>
      </c>
      <c r="K1" s="5" t="s">
        <v>243</v>
      </c>
      <c r="L1" s="5" t="s">
        <v>244</v>
      </c>
      <c r="M1" s="5" t="s">
        <v>245</v>
      </c>
      <c r="N1" s="5" t="s">
        <v>246</v>
      </c>
      <c r="O1" s="6" t="s">
        <v>247</v>
      </c>
      <c r="P1" s="5" t="s">
        <v>248</v>
      </c>
      <c r="Q1" s="5" t="s">
        <v>249</v>
      </c>
      <c r="R1" s="6" t="s">
        <v>250</v>
      </c>
      <c r="S1" s="6" t="s">
        <v>251</v>
      </c>
      <c r="T1" s="23" t="s">
        <v>252</v>
      </c>
    </row>
    <row r="2" spans="1:20" x14ac:dyDescent="0.25">
      <c r="A2" t="s">
        <v>253</v>
      </c>
      <c r="B2" s="24" t="s">
        <v>254</v>
      </c>
      <c r="C2" t="s">
        <v>255</v>
      </c>
      <c r="D2" t="s">
        <v>256</v>
      </c>
      <c r="E2" t="s">
        <v>3</v>
      </c>
      <c r="F2" t="s">
        <v>257</v>
      </c>
      <c r="G2" t="s">
        <v>258</v>
      </c>
      <c r="H2" t="s">
        <v>3</v>
      </c>
      <c r="I2" t="s">
        <v>60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s="2" t="s">
        <v>3</v>
      </c>
      <c r="P2" t="s">
        <v>3</v>
      </c>
      <c r="Q2" t="s">
        <v>3</v>
      </c>
      <c r="R2" s="2" t="s">
        <v>259</v>
      </c>
      <c r="S2" s="2" t="s">
        <v>260</v>
      </c>
      <c r="T2" t="s">
        <v>261</v>
      </c>
    </row>
    <row r="3" spans="1:20" x14ac:dyDescent="0.25">
      <c r="A3" t="s">
        <v>192</v>
      </c>
      <c r="B3" s="25" t="s">
        <v>177</v>
      </c>
      <c r="C3" t="s">
        <v>189</v>
      </c>
      <c r="D3" t="s">
        <v>262</v>
      </c>
      <c r="E3" t="s">
        <v>263</v>
      </c>
      <c r="F3" t="s">
        <v>184</v>
      </c>
      <c r="G3" t="s">
        <v>258</v>
      </c>
      <c r="H3" t="s">
        <v>3</v>
      </c>
      <c r="I3" t="s">
        <v>60</v>
      </c>
      <c r="J3" t="s">
        <v>264</v>
      </c>
      <c r="K3">
        <v>9</v>
      </c>
      <c r="L3">
        <v>45</v>
      </c>
      <c r="M3" t="s">
        <v>265</v>
      </c>
      <c r="N3" t="s">
        <v>266</v>
      </c>
      <c r="O3" s="2" t="s">
        <v>3</v>
      </c>
      <c r="P3" t="s">
        <v>3</v>
      </c>
      <c r="Q3" t="s">
        <v>3</v>
      </c>
      <c r="R3" s="2" t="s">
        <v>267</v>
      </c>
      <c r="S3" s="2" t="s">
        <v>3</v>
      </c>
      <c r="T3" t="s">
        <v>261</v>
      </c>
    </row>
    <row r="4" spans="1:20" x14ac:dyDescent="0.25">
      <c r="A4" t="s">
        <v>201</v>
      </c>
      <c r="B4" s="25" t="s">
        <v>177</v>
      </c>
      <c r="C4" t="s">
        <v>198</v>
      </c>
      <c r="D4" t="s">
        <v>268</v>
      </c>
      <c r="E4" t="s">
        <v>269</v>
      </c>
      <c r="F4" t="s">
        <v>196</v>
      </c>
      <c r="G4" t="s">
        <v>258</v>
      </c>
      <c r="H4" t="s">
        <v>3</v>
      </c>
      <c r="I4" t="s">
        <v>60</v>
      </c>
      <c r="J4" t="s">
        <v>270</v>
      </c>
      <c r="K4">
        <v>9</v>
      </c>
      <c r="L4">
        <v>45</v>
      </c>
      <c r="M4" t="s">
        <v>271</v>
      </c>
      <c r="N4" t="s">
        <v>266</v>
      </c>
      <c r="O4" s="2" t="s">
        <v>3</v>
      </c>
      <c r="P4" t="s">
        <v>3</v>
      </c>
      <c r="Q4" t="s">
        <v>3</v>
      </c>
      <c r="R4" s="2" t="s">
        <v>267</v>
      </c>
      <c r="S4" s="2" t="s">
        <v>3</v>
      </c>
      <c r="T4" t="s">
        <v>261</v>
      </c>
    </row>
    <row r="5" spans="1:20" x14ac:dyDescent="0.25">
      <c r="A5" t="s">
        <v>211</v>
      </c>
      <c r="B5" s="25" t="s">
        <v>177</v>
      </c>
      <c r="C5" t="s">
        <v>208</v>
      </c>
      <c r="D5" t="s">
        <v>272</v>
      </c>
      <c r="E5" t="s">
        <v>273</v>
      </c>
      <c r="F5" t="s">
        <v>205</v>
      </c>
      <c r="G5" t="s">
        <v>258</v>
      </c>
      <c r="H5" t="s">
        <v>3</v>
      </c>
      <c r="I5" t="s">
        <v>60</v>
      </c>
      <c r="J5" t="s">
        <v>274</v>
      </c>
      <c r="K5">
        <v>9</v>
      </c>
      <c r="L5">
        <v>45</v>
      </c>
      <c r="M5" t="s">
        <v>275</v>
      </c>
      <c r="N5" t="s">
        <v>266</v>
      </c>
      <c r="O5" s="2" t="s">
        <v>3</v>
      </c>
      <c r="P5" t="s">
        <v>3</v>
      </c>
      <c r="Q5" t="s">
        <v>3</v>
      </c>
      <c r="R5" s="2" t="s">
        <v>267</v>
      </c>
      <c r="S5" s="2" t="s">
        <v>3</v>
      </c>
      <c r="T5" t="s">
        <v>261</v>
      </c>
    </row>
    <row r="6" spans="1:20" x14ac:dyDescent="0.25">
      <c r="A6" t="s">
        <v>221</v>
      </c>
      <c r="B6" s="25" t="s">
        <v>177</v>
      </c>
      <c r="C6" t="s">
        <v>218</v>
      </c>
      <c r="D6" t="s">
        <v>276</v>
      </c>
      <c r="E6" t="s">
        <v>277</v>
      </c>
      <c r="F6" t="s">
        <v>215</v>
      </c>
      <c r="G6" t="s">
        <v>258</v>
      </c>
      <c r="H6" t="s">
        <v>3</v>
      </c>
      <c r="I6" t="s">
        <v>60</v>
      </c>
      <c r="J6" t="s">
        <v>278</v>
      </c>
      <c r="K6">
        <v>9</v>
      </c>
      <c r="L6">
        <v>45</v>
      </c>
      <c r="M6" t="s">
        <v>279</v>
      </c>
      <c r="N6" t="s">
        <v>266</v>
      </c>
      <c r="O6" s="2" t="s">
        <v>3</v>
      </c>
      <c r="P6" t="s">
        <v>3</v>
      </c>
      <c r="Q6" t="s">
        <v>3</v>
      </c>
      <c r="R6" s="2" t="s">
        <v>267</v>
      </c>
      <c r="S6" s="2" t="s">
        <v>3</v>
      </c>
      <c r="T6" t="s">
        <v>261</v>
      </c>
    </row>
    <row r="7" spans="1:20" x14ac:dyDescent="0.25">
      <c r="A7" t="s">
        <v>231</v>
      </c>
      <c r="B7" s="25" t="s">
        <v>177</v>
      </c>
      <c r="C7" t="s">
        <v>228</v>
      </c>
      <c r="D7" t="s">
        <v>280</v>
      </c>
      <c r="E7" t="s">
        <v>281</v>
      </c>
      <c r="F7" t="s">
        <v>225</v>
      </c>
      <c r="G7" t="s">
        <v>258</v>
      </c>
      <c r="H7" t="s">
        <v>3</v>
      </c>
      <c r="I7" t="s">
        <v>60</v>
      </c>
      <c r="J7" t="s">
        <v>282</v>
      </c>
      <c r="K7">
        <v>9</v>
      </c>
      <c r="L7">
        <v>45</v>
      </c>
      <c r="M7" t="s">
        <v>283</v>
      </c>
      <c r="N7" t="s">
        <v>266</v>
      </c>
      <c r="O7" s="2" t="s">
        <v>3</v>
      </c>
      <c r="P7" t="s">
        <v>3</v>
      </c>
      <c r="Q7" t="s">
        <v>3</v>
      </c>
      <c r="R7" s="2" t="s">
        <v>267</v>
      </c>
      <c r="S7" s="2" t="s">
        <v>3</v>
      </c>
      <c r="T7" t="s">
        <v>261</v>
      </c>
    </row>
    <row r="8" spans="1:20" x14ac:dyDescent="0.25">
      <c r="A8" t="s">
        <v>193</v>
      </c>
      <c r="B8" s="26" t="s">
        <v>178</v>
      </c>
      <c r="C8" t="s">
        <v>190</v>
      </c>
      <c r="D8" t="s">
        <v>284</v>
      </c>
      <c r="E8" t="s">
        <v>285</v>
      </c>
      <c r="F8" t="s">
        <v>184</v>
      </c>
      <c r="G8" t="s">
        <v>258</v>
      </c>
      <c r="H8" t="s">
        <v>286</v>
      </c>
      <c r="I8" t="s">
        <v>60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s="2" t="s">
        <v>3</v>
      </c>
      <c r="P8" t="s">
        <v>3</v>
      </c>
      <c r="Q8" t="s">
        <v>3</v>
      </c>
      <c r="R8" s="2" t="s">
        <v>267</v>
      </c>
      <c r="S8" s="2" t="s">
        <v>3</v>
      </c>
      <c r="T8" t="s">
        <v>261</v>
      </c>
    </row>
    <row r="9" spans="1:20" x14ac:dyDescent="0.25">
      <c r="A9" t="s">
        <v>202</v>
      </c>
      <c r="B9" s="26" t="s">
        <v>178</v>
      </c>
      <c r="C9" t="s">
        <v>199</v>
      </c>
      <c r="D9" t="s">
        <v>287</v>
      </c>
      <c r="E9" t="s">
        <v>288</v>
      </c>
      <c r="F9" t="s">
        <v>196</v>
      </c>
      <c r="G9" t="s">
        <v>258</v>
      </c>
      <c r="H9" t="s">
        <v>286</v>
      </c>
      <c r="I9" t="s">
        <v>60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s="2" t="s">
        <v>3</v>
      </c>
      <c r="P9" t="s">
        <v>3</v>
      </c>
      <c r="Q9" t="s">
        <v>3</v>
      </c>
      <c r="R9" s="2" t="s">
        <v>267</v>
      </c>
      <c r="S9" s="2" t="s">
        <v>3</v>
      </c>
      <c r="T9" t="s">
        <v>261</v>
      </c>
    </row>
    <row r="10" spans="1:20" x14ac:dyDescent="0.25">
      <c r="A10" t="s">
        <v>212</v>
      </c>
      <c r="B10" s="26" t="s">
        <v>178</v>
      </c>
      <c r="C10" t="s">
        <v>209</v>
      </c>
      <c r="D10" t="s">
        <v>289</v>
      </c>
      <c r="E10" t="s">
        <v>290</v>
      </c>
      <c r="F10" t="s">
        <v>205</v>
      </c>
      <c r="G10" t="s">
        <v>258</v>
      </c>
      <c r="H10" t="s">
        <v>291</v>
      </c>
      <c r="I10" t="s">
        <v>60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s="2" t="s">
        <v>3</v>
      </c>
      <c r="P10" t="s">
        <v>3</v>
      </c>
      <c r="Q10" t="s">
        <v>3</v>
      </c>
      <c r="R10" s="2" t="s">
        <v>292</v>
      </c>
      <c r="S10" s="2" t="s">
        <v>3</v>
      </c>
      <c r="T10" t="s">
        <v>261</v>
      </c>
    </row>
    <row r="11" spans="1:20" x14ac:dyDescent="0.25">
      <c r="A11" t="s">
        <v>222</v>
      </c>
      <c r="B11" s="26" t="s">
        <v>178</v>
      </c>
      <c r="C11" t="s">
        <v>219</v>
      </c>
      <c r="D11" t="s">
        <v>293</v>
      </c>
      <c r="E11" t="s">
        <v>294</v>
      </c>
      <c r="F11" t="s">
        <v>215</v>
      </c>
      <c r="G11" t="s">
        <v>258</v>
      </c>
      <c r="H11" t="s">
        <v>286</v>
      </c>
      <c r="I11" t="s">
        <v>60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s="2" t="s">
        <v>3</v>
      </c>
      <c r="P11" t="s">
        <v>3</v>
      </c>
      <c r="Q11" t="s">
        <v>3</v>
      </c>
      <c r="R11" s="2" t="s">
        <v>267</v>
      </c>
      <c r="S11" s="2" t="s">
        <v>3</v>
      </c>
      <c r="T11" t="s">
        <v>261</v>
      </c>
    </row>
    <row r="12" spans="1:20" x14ac:dyDescent="0.25">
      <c r="A12" t="s">
        <v>232</v>
      </c>
      <c r="B12" s="26" t="s">
        <v>178</v>
      </c>
      <c r="C12" t="s">
        <v>229</v>
      </c>
      <c r="D12" t="s">
        <v>295</v>
      </c>
      <c r="E12" t="s">
        <v>296</v>
      </c>
      <c r="F12" t="s">
        <v>225</v>
      </c>
      <c r="G12" t="s">
        <v>258</v>
      </c>
      <c r="H12" t="s">
        <v>286</v>
      </c>
      <c r="I12" t="s">
        <v>60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s="2" t="s">
        <v>3</v>
      </c>
      <c r="P12" t="s">
        <v>3</v>
      </c>
      <c r="Q12" t="s">
        <v>3</v>
      </c>
      <c r="R12" s="2" t="s">
        <v>267</v>
      </c>
      <c r="S12" s="2" t="s">
        <v>3</v>
      </c>
      <c r="T12" t="s">
        <v>261</v>
      </c>
    </row>
    <row r="13" spans="1:20" x14ac:dyDescent="0.25">
      <c r="A13" t="s">
        <v>194</v>
      </c>
      <c r="B13" s="27" t="s">
        <v>179</v>
      </c>
      <c r="C13" t="s">
        <v>191</v>
      </c>
      <c r="D13" t="s">
        <v>297</v>
      </c>
      <c r="E13" t="s">
        <v>298</v>
      </c>
      <c r="F13" t="s">
        <v>184</v>
      </c>
      <c r="G13" t="s">
        <v>299</v>
      </c>
      <c r="H13" t="s">
        <v>3</v>
      </c>
      <c r="I13" t="s">
        <v>60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s="2" t="s">
        <v>300</v>
      </c>
      <c r="P13" t="s">
        <v>3</v>
      </c>
      <c r="Q13" t="s">
        <v>3</v>
      </c>
      <c r="R13" s="2" t="s">
        <v>267</v>
      </c>
      <c r="S13" s="2" t="s">
        <v>3</v>
      </c>
      <c r="T13" t="s">
        <v>261</v>
      </c>
    </row>
    <row r="14" spans="1:20" x14ac:dyDescent="0.25">
      <c r="A14" t="s">
        <v>203</v>
      </c>
      <c r="B14" s="27" t="s">
        <v>179</v>
      </c>
      <c r="C14" t="s">
        <v>200</v>
      </c>
      <c r="D14" t="s">
        <v>301</v>
      </c>
      <c r="E14" t="s">
        <v>302</v>
      </c>
      <c r="F14" t="s">
        <v>196</v>
      </c>
      <c r="G14" t="s">
        <v>299</v>
      </c>
      <c r="H14" t="s">
        <v>3</v>
      </c>
      <c r="I14" t="s">
        <v>60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s="2" t="s">
        <v>300</v>
      </c>
      <c r="P14" t="s">
        <v>3</v>
      </c>
      <c r="Q14" t="s">
        <v>3</v>
      </c>
      <c r="R14" s="2" t="s">
        <v>267</v>
      </c>
      <c r="S14" s="2" t="s">
        <v>3</v>
      </c>
      <c r="T14" t="s">
        <v>261</v>
      </c>
    </row>
    <row r="15" spans="1:20" x14ac:dyDescent="0.25">
      <c r="A15" t="s">
        <v>213</v>
      </c>
      <c r="B15" s="27" t="s">
        <v>179</v>
      </c>
      <c r="C15" t="s">
        <v>210</v>
      </c>
      <c r="D15" t="s">
        <v>303</v>
      </c>
      <c r="E15" t="s">
        <v>304</v>
      </c>
      <c r="F15" t="s">
        <v>205</v>
      </c>
      <c r="G15" t="s">
        <v>305</v>
      </c>
      <c r="H15" t="s">
        <v>3</v>
      </c>
      <c r="I15" t="s">
        <v>60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s="2" t="s">
        <v>300</v>
      </c>
      <c r="P15" t="s">
        <v>3</v>
      </c>
      <c r="Q15" t="s">
        <v>3</v>
      </c>
      <c r="R15" s="2" t="s">
        <v>267</v>
      </c>
      <c r="S15" s="2" t="s">
        <v>3</v>
      </c>
      <c r="T15" t="s">
        <v>261</v>
      </c>
    </row>
    <row r="16" spans="1:20" x14ac:dyDescent="0.25">
      <c r="A16" t="s">
        <v>223</v>
      </c>
      <c r="B16" s="27" t="s">
        <v>179</v>
      </c>
      <c r="C16" t="s">
        <v>220</v>
      </c>
      <c r="D16" t="s">
        <v>306</v>
      </c>
      <c r="E16" t="s">
        <v>307</v>
      </c>
      <c r="F16" t="s">
        <v>215</v>
      </c>
      <c r="G16" t="s">
        <v>305</v>
      </c>
      <c r="H16" t="s">
        <v>3</v>
      </c>
      <c r="I16" t="s">
        <v>60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s="2" t="s">
        <v>300</v>
      </c>
      <c r="P16" t="s">
        <v>3</v>
      </c>
      <c r="Q16" t="s">
        <v>3</v>
      </c>
      <c r="R16" s="2" t="s">
        <v>267</v>
      </c>
      <c r="S16" s="2" t="s">
        <v>3</v>
      </c>
      <c r="T16" t="s">
        <v>261</v>
      </c>
    </row>
    <row r="17" spans="1:20" x14ac:dyDescent="0.25">
      <c r="A17" t="s">
        <v>233</v>
      </c>
      <c r="B17" s="27" t="s">
        <v>179</v>
      </c>
      <c r="C17" t="s">
        <v>230</v>
      </c>
      <c r="D17" t="s">
        <v>308</v>
      </c>
      <c r="E17" t="s">
        <v>309</v>
      </c>
      <c r="F17" t="s">
        <v>225</v>
      </c>
      <c r="G17" t="s">
        <v>310</v>
      </c>
      <c r="H17" t="s">
        <v>3</v>
      </c>
      <c r="I17" t="s">
        <v>60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s="2" t="s">
        <v>300</v>
      </c>
      <c r="P17" t="s">
        <v>3</v>
      </c>
      <c r="Q17" t="s">
        <v>3</v>
      </c>
      <c r="R17" s="2" t="s">
        <v>267</v>
      </c>
      <c r="S17" s="2" t="s">
        <v>3</v>
      </c>
      <c r="T17" t="s">
        <v>261</v>
      </c>
    </row>
    <row r="18" spans="1:20" x14ac:dyDescent="0.25">
      <c r="A18" t="s">
        <v>311</v>
      </c>
      <c r="B18" s="28" t="s">
        <v>312</v>
      </c>
      <c r="C18" t="s">
        <v>313</v>
      </c>
      <c r="D18" t="s">
        <v>314</v>
      </c>
      <c r="E18" t="s">
        <v>315</v>
      </c>
      <c r="F18" t="s">
        <v>184</v>
      </c>
      <c r="G18" t="s">
        <v>258</v>
      </c>
      <c r="H18" t="s">
        <v>3</v>
      </c>
      <c r="I18" t="s">
        <v>60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s="2" t="s">
        <v>3</v>
      </c>
      <c r="P18" t="s">
        <v>316</v>
      </c>
      <c r="Q18" t="s">
        <v>291</v>
      </c>
      <c r="R18" s="2" t="s">
        <v>317</v>
      </c>
      <c r="S18" s="2" t="s">
        <v>3</v>
      </c>
      <c r="T18" t="s">
        <v>261</v>
      </c>
    </row>
    <row r="19" spans="1:20" x14ac:dyDescent="0.25">
      <c r="A19" t="s">
        <v>318</v>
      </c>
      <c r="B19" s="28" t="s">
        <v>312</v>
      </c>
      <c r="C19" t="s">
        <v>319</v>
      </c>
      <c r="D19" t="s">
        <v>320</v>
      </c>
      <c r="E19" t="s">
        <v>321</v>
      </c>
      <c r="F19" t="s">
        <v>184</v>
      </c>
      <c r="G19" t="s">
        <v>258</v>
      </c>
      <c r="H19" t="s">
        <v>3</v>
      </c>
      <c r="I19" t="s">
        <v>60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s="2" t="s">
        <v>3</v>
      </c>
      <c r="P19" t="s">
        <v>322</v>
      </c>
      <c r="Q19" t="s">
        <v>291</v>
      </c>
      <c r="R19" s="2" t="s">
        <v>317</v>
      </c>
      <c r="S19" s="2" t="s">
        <v>3</v>
      </c>
      <c r="T19" t="s">
        <v>261</v>
      </c>
    </row>
    <row r="20" spans="1:20" x14ac:dyDescent="0.25">
      <c r="A20" t="s">
        <v>323</v>
      </c>
      <c r="B20" s="28" t="s">
        <v>312</v>
      </c>
      <c r="C20" t="s">
        <v>324</v>
      </c>
      <c r="D20" t="s">
        <v>325</v>
      </c>
      <c r="E20" t="s">
        <v>326</v>
      </c>
      <c r="F20" t="s">
        <v>184</v>
      </c>
      <c r="G20" t="s">
        <v>258</v>
      </c>
      <c r="H20" t="s">
        <v>3</v>
      </c>
      <c r="I20" t="s">
        <v>60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s="2" t="s">
        <v>3</v>
      </c>
      <c r="P20" t="s">
        <v>327</v>
      </c>
      <c r="Q20" t="s">
        <v>286</v>
      </c>
      <c r="R20" s="2" t="s">
        <v>317</v>
      </c>
      <c r="S20" s="2" t="s">
        <v>3</v>
      </c>
      <c r="T20" t="s">
        <v>261</v>
      </c>
    </row>
    <row r="21" spans="1:20" x14ac:dyDescent="0.25">
      <c r="A21" t="s">
        <v>328</v>
      </c>
      <c r="B21" s="28" t="s">
        <v>312</v>
      </c>
      <c r="C21" t="s">
        <v>329</v>
      </c>
      <c r="D21" t="s">
        <v>330</v>
      </c>
      <c r="E21" t="s">
        <v>331</v>
      </c>
      <c r="F21" t="s">
        <v>196</v>
      </c>
      <c r="G21" t="s">
        <v>258</v>
      </c>
      <c r="H21" t="s">
        <v>3</v>
      </c>
      <c r="I21" t="s">
        <v>60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s="2" t="s">
        <v>3</v>
      </c>
      <c r="P21" t="s">
        <v>332</v>
      </c>
      <c r="Q21" t="s">
        <v>291</v>
      </c>
      <c r="R21" s="2" t="s">
        <v>317</v>
      </c>
      <c r="S21" s="2" t="s">
        <v>3</v>
      </c>
      <c r="T21" t="s">
        <v>261</v>
      </c>
    </row>
    <row r="22" spans="1:20" x14ac:dyDescent="0.25">
      <c r="A22" t="s">
        <v>333</v>
      </c>
      <c r="B22" s="28" t="s">
        <v>312</v>
      </c>
      <c r="C22" t="s">
        <v>334</v>
      </c>
      <c r="D22" t="s">
        <v>335</v>
      </c>
      <c r="E22" t="s">
        <v>336</v>
      </c>
      <c r="F22" t="s">
        <v>196</v>
      </c>
      <c r="G22" t="s">
        <v>258</v>
      </c>
      <c r="H22" t="s">
        <v>3</v>
      </c>
      <c r="I22" t="s">
        <v>60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s="2" t="s">
        <v>3</v>
      </c>
      <c r="P22" t="s">
        <v>337</v>
      </c>
      <c r="Q22" t="s">
        <v>286</v>
      </c>
      <c r="R22" s="2" t="s">
        <v>317</v>
      </c>
      <c r="S22" s="2" t="s">
        <v>3</v>
      </c>
      <c r="T22" t="s">
        <v>261</v>
      </c>
    </row>
    <row r="23" spans="1:20" x14ac:dyDescent="0.25">
      <c r="A23" t="s">
        <v>338</v>
      </c>
      <c r="B23" s="28" t="s">
        <v>312</v>
      </c>
      <c r="C23" t="s">
        <v>339</v>
      </c>
      <c r="D23" t="s">
        <v>340</v>
      </c>
      <c r="E23" t="s">
        <v>341</v>
      </c>
      <c r="F23" t="s">
        <v>196</v>
      </c>
      <c r="G23" t="s">
        <v>258</v>
      </c>
      <c r="H23" t="s">
        <v>3</v>
      </c>
      <c r="I23" t="s">
        <v>60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s="2" t="s">
        <v>3</v>
      </c>
      <c r="P23" t="s">
        <v>342</v>
      </c>
      <c r="Q23" t="s">
        <v>291</v>
      </c>
      <c r="R23" s="2" t="s">
        <v>317</v>
      </c>
      <c r="S23" s="2" t="s">
        <v>3</v>
      </c>
      <c r="T23" t="s">
        <v>261</v>
      </c>
    </row>
    <row r="24" spans="1:20" x14ac:dyDescent="0.25">
      <c r="A24" t="s">
        <v>343</v>
      </c>
      <c r="B24" s="28" t="s">
        <v>312</v>
      </c>
      <c r="C24" t="s">
        <v>344</v>
      </c>
      <c r="D24" t="s">
        <v>345</v>
      </c>
      <c r="E24" t="s">
        <v>346</v>
      </c>
      <c r="F24" t="s">
        <v>205</v>
      </c>
      <c r="G24" t="s">
        <v>258</v>
      </c>
      <c r="H24" t="s">
        <v>3</v>
      </c>
      <c r="I24" t="s">
        <v>60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s="2" t="s">
        <v>3</v>
      </c>
      <c r="P24" t="s">
        <v>347</v>
      </c>
      <c r="Q24" t="s">
        <v>291</v>
      </c>
      <c r="R24" s="2" t="s">
        <v>317</v>
      </c>
      <c r="S24" s="2" t="s">
        <v>3</v>
      </c>
      <c r="T24" t="s">
        <v>261</v>
      </c>
    </row>
    <row r="25" spans="1:20" x14ac:dyDescent="0.25">
      <c r="A25" t="s">
        <v>348</v>
      </c>
      <c r="B25" s="28" t="s">
        <v>312</v>
      </c>
      <c r="C25" t="s">
        <v>349</v>
      </c>
      <c r="D25" t="s">
        <v>350</v>
      </c>
      <c r="E25" t="s">
        <v>351</v>
      </c>
      <c r="F25" t="s">
        <v>205</v>
      </c>
      <c r="G25" t="s">
        <v>258</v>
      </c>
      <c r="H25" t="s">
        <v>3</v>
      </c>
      <c r="I25" t="s">
        <v>60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s="2" t="s">
        <v>3</v>
      </c>
      <c r="P25" t="s">
        <v>352</v>
      </c>
      <c r="Q25" t="s">
        <v>286</v>
      </c>
      <c r="R25" s="2" t="s">
        <v>317</v>
      </c>
      <c r="S25" s="2" t="s">
        <v>3</v>
      </c>
      <c r="T25" t="s">
        <v>261</v>
      </c>
    </row>
    <row r="26" spans="1:20" x14ac:dyDescent="0.25">
      <c r="A26" t="s">
        <v>353</v>
      </c>
      <c r="B26" s="28" t="s">
        <v>312</v>
      </c>
      <c r="C26" t="s">
        <v>354</v>
      </c>
      <c r="D26" t="s">
        <v>355</v>
      </c>
      <c r="E26" t="s">
        <v>356</v>
      </c>
      <c r="F26" t="s">
        <v>205</v>
      </c>
      <c r="G26" t="s">
        <v>258</v>
      </c>
      <c r="H26" t="s">
        <v>3</v>
      </c>
      <c r="I26" t="s">
        <v>60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s="2" t="s">
        <v>3</v>
      </c>
      <c r="P26" t="s">
        <v>357</v>
      </c>
      <c r="Q26" t="s">
        <v>286</v>
      </c>
      <c r="R26" s="2" t="s">
        <v>317</v>
      </c>
      <c r="S26" s="2" t="s">
        <v>3</v>
      </c>
      <c r="T26" t="s">
        <v>261</v>
      </c>
    </row>
    <row r="27" spans="1:20" x14ac:dyDescent="0.25">
      <c r="A27" t="s">
        <v>358</v>
      </c>
      <c r="B27" s="28" t="s">
        <v>312</v>
      </c>
      <c r="C27" t="s">
        <v>359</v>
      </c>
      <c r="D27" t="s">
        <v>360</v>
      </c>
      <c r="E27" t="s">
        <v>361</v>
      </c>
      <c r="F27" t="s">
        <v>215</v>
      </c>
      <c r="G27" t="s">
        <v>258</v>
      </c>
      <c r="H27" t="s">
        <v>3</v>
      </c>
      <c r="I27" t="s">
        <v>60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s="2" t="s">
        <v>3</v>
      </c>
      <c r="P27" t="s">
        <v>362</v>
      </c>
      <c r="Q27" t="s">
        <v>291</v>
      </c>
      <c r="R27" s="2" t="s">
        <v>317</v>
      </c>
      <c r="S27" s="2" t="s">
        <v>3</v>
      </c>
      <c r="T27" t="s">
        <v>261</v>
      </c>
    </row>
    <row r="28" spans="1:20" x14ac:dyDescent="0.25">
      <c r="A28" t="s">
        <v>363</v>
      </c>
      <c r="B28" s="28" t="s">
        <v>312</v>
      </c>
      <c r="C28" t="s">
        <v>364</v>
      </c>
      <c r="D28" t="s">
        <v>365</v>
      </c>
      <c r="E28" t="s">
        <v>366</v>
      </c>
      <c r="F28" t="s">
        <v>215</v>
      </c>
      <c r="G28" t="s">
        <v>258</v>
      </c>
      <c r="H28" t="s">
        <v>3</v>
      </c>
      <c r="I28" t="s">
        <v>60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s="2" t="s">
        <v>3</v>
      </c>
      <c r="P28" t="s">
        <v>367</v>
      </c>
      <c r="Q28" t="s">
        <v>291</v>
      </c>
      <c r="R28" s="2" t="s">
        <v>317</v>
      </c>
      <c r="S28" s="2" t="s">
        <v>3</v>
      </c>
      <c r="T28" t="s">
        <v>261</v>
      </c>
    </row>
    <row r="29" spans="1:20" x14ac:dyDescent="0.25">
      <c r="A29" t="s">
        <v>368</v>
      </c>
      <c r="B29" s="28" t="s">
        <v>312</v>
      </c>
      <c r="C29" t="s">
        <v>369</v>
      </c>
      <c r="D29" t="s">
        <v>370</v>
      </c>
      <c r="E29" t="s">
        <v>371</v>
      </c>
      <c r="F29" t="s">
        <v>215</v>
      </c>
      <c r="G29" t="s">
        <v>258</v>
      </c>
      <c r="H29" t="s">
        <v>3</v>
      </c>
      <c r="I29" t="s">
        <v>60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s="2" t="s">
        <v>3</v>
      </c>
      <c r="P29" t="s">
        <v>372</v>
      </c>
      <c r="Q29" t="s">
        <v>286</v>
      </c>
      <c r="R29" s="2" t="s">
        <v>317</v>
      </c>
      <c r="S29" s="2" t="s">
        <v>3</v>
      </c>
      <c r="T29" t="s">
        <v>261</v>
      </c>
    </row>
    <row r="30" spans="1:20" x14ac:dyDescent="0.25">
      <c r="A30" t="s">
        <v>373</v>
      </c>
      <c r="B30" s="28" t="s">
        <v>312</v>
      </c>
      <c r="C30" t="s">
        <v>374</v>
      </c>
      <c r="D30" t="s">
        <v>375</v>
      </c>
      <c r="E30" t="s">
        <v>376</v>
      </c>
      <c r="F30" t="s">
        <v>225</v>
      </c>
      <c r="G30" t="s">
        <v>258</v>
      </c>
      <c r="H30" t="s">
        <v>3</v>
      </c>
      <c r="I30" t="s">
        <v>60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s="2" t="s">
        <v>3</v>
      </c>
      <c r="P30" t="s">
        <v>377</v>
      </c>
      <c r="Q30" t="s">
        <v>286</v>
      </c>
      <c r="R30" s="2" t="s">
        <v>317</v>
      </c>
      <c r="S30" s="2" t="s">
        <v>3</v>
      </c>
      <c r="T30" t="s">
        <v>261</v>
      </c>
    </row>
    <row r="31" spans="1:20" x14ac:dyDescent="0.25">
      <c r="A31" t="s">
        <v>378</v>
      </c>
      <c r="B31" s="28" t="s">
        <v>312</v>
      </c>
      <c r="C31" t="s">
        <v>379</v>
      </c>
      <c r="D31" t="s">
        <v>380</v>
      </c>
      <c r="E31" t="s">
        <v>381</v>
      </c>
      <c r="F31" t="s">
        <v>225</v>
      </c>
      <c r="G31" t="s">
        <v>258</v>
      </c>
      <c r="H31" t="s">
        <v>3</v>
      </c>
      <c r="I31" t="s">
        <v>60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s="2" t="s">
        <v>3</v>
      </c>
      <c r="P31" t="s">
        <v>382</v>
      </c>
      <c r="Q31" t="s">
        <v>291</v>
      </c>
      <c r="R31" s="2" t="s">
        <v>317</v>
      </c>
      <c r="S31" s="2" t="s">
        <v>3</v>
      </c>
      <c r="T31" t="s">
        <v>261</v>
      </c>
    </row>
    <row r="32" spans="1:20" x14ac:dyDescent="0.25">
      <c r="A32" t="s">
        <v>383</v>
      </c>
      <c r="B32" s="28" t="s">
        <v>312</v>
      </c>
      <c r="C32" t="s">
        <v>384</v>
      </c>
      <c r="D32" t="s">
        <v>385</v>
      </c>
      <c r="E32" t="s">
        <v>386</v>
      </c>
      <c r="F32" t="s">
        <v>225</v>
      </c>
      <c r="G32" t="s">
        <v>258</v>
      </c>
      <c r="H32" t="s">
        <v>3</v>
      </c>
      <c r="I32" t="s">
        <v>60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s="2" t="s">
        <v>3</v>
      </c>
      <c r="P32" t="s">
        <v>387</v>
      </c>
      <c r="Q32" t="s">
        <v>286</v>
      </c>
      <c r="R32" s="2" t="s">
        <v>317</v>
      </c>
      <c r="S32" s="2" t="s">
        <v>3</v>
      </c>
      <c r="T32" t="s">
        <v>261</v>
      </c>
    </row>
    <row r="33" spans="1:20" x14ac:dyDescent="0.25">
      <c r="A33" t="s">
        <v>388</v>
      </c>
      <c r="B33" s="28" t="s">
        <v>312</v>
      </c>
      <c r="C33" t="s">
        <v>389</v>
      </c>
      <c r="D33" t="s">
        <v>390</v>
      </c>
      <c r="E33" t="s">
        <v>391</v>
      </c>
      <c r="F33" t="s">
        <v>184</v>
      </c>
      <c r="G33" t="s">
        <v>258</v>
      </c>
      <c r="H33" t="s">
        <v>3</v>
      </c>
      <c r="I33" t="s">
        <v>60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s="2" t="s">
        <v>3</v>
      </c>
      <c r="P33" t="s">
        <v>392</v>
      </c>
      <c r="Q33" t="s">
        <v>286</v>
      </c>
      <c r="R33" s="2" t="s">
        <v>317</v>
      </c>
      <c r="S33" s="2" t="s">
        <v>3</v>
      </c>
      <c r="T33" t="s">
        <v>261</v>
      </c>
    </row>
    <row r="34" spans="1:20" x14ac:dyDescent="0.25">
      <c r="A34" t="s">
        <v>393</v>
      </c>
      <c r="B34" s="28" t="s">
        <v>312</v>
      </c>
      <c r="C34" t="s">
        <v>394</v>
      </c>
      <c r="D34" t="s">
        <v>395</v>
      </c>
      <c r="E34" t="s">
        <v>396</v>
      </c>
      <c r="F34" t="s">
        <v>196</v>
      </c>
      <c r="G34" t="s">
        <v>258</v>
      </c>
      <c r="H34" t="s">
        <v>3</v>
      </c>
      <c r="I34" t="s">
        <v>60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s="2" t="s">
        <v>3</v>
      </c>
      <c r="P34" t="s">
        <v>397</v>
      </c>
      <c r="Q34" t="s">
        <v>286</v>
      </c>
      <c r="R34" s="2" t="s">
        <v>317</v>
      </c>
      <c r="S34" s="2" t="s">
        <v>3</v>
      </c>
      <c r="T34" t="s">
        <v>261</v>
      </c>
    </row>
    <row r="35" spans="1:20" x14ac:dyDescent="0.25">
      <c r="A35" t="s">
        <v>398</v>
      </c>
      <c r="B35" s="28" t="s">
        <v>312</v>
      </c>
      <c r="C35" t="s">
        <v>399</v>
      </c>
      <c r="D35" t="s">
        <v>400</v>
      </c>
      <c r="E35" t="s">
        <v>401</v>
      </c>
      <c r="F35" t="s">
        <v>205</v>
      </c>
      <c r="G35" t="s">
        <v>258</v>
      </c>
      <c r="H35" t="s">
        <v>3</v>
      </c>
      <c r="I35" t="s">
        <v>60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s="2" t="s">
        <v>3</v>
      </c>
      <c r="P35" t="s">
        <v>402</v>
      </c>
      <c r="Q35" t="s">
        <v>286</v>
      </c>
      <c r="R35" s="2" t="s">
        <v>317</v>
      </c>
      <c r="S35" s="2" t="s">
        <v>3</v>
      </c>
      <c r="T35" t="s">
        <v>261</v>
      </c>
    </row>
    <row r="36" spans="1:20" x14ac:dyDescent="0.25">
      <c r="A36" t="s">
        <v>403</v>
      </c>
      <c r="B36" s="28" t="s">
        <v>312</v>
      </c>
      <c r="C36" t="s">
        <v>404</v>
      </c>
      <c r="D36" t="s">
        <v>405</v>
      </c>
      <c r="E36" t="s">
        <v>406</v>
      </c>
      <c r="F36" t="s">
        <v>215</v>
      </c>
      <c r="G36" t="s">
        <v>258</v>
      </c>
      <c r="H36" t="s">
        <v>3</v>
      </c>
      <c r="I36" t="s">
        <v>60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s="2" t="s">
        <v>3</v>
      </c>
      <c r="P36" t="s">
        <v>407</v>
      </c>
      <c r="Q36" t="s">
        <v>286</v>
      </c>
      <c r="R36" s="2" t="s">
        <v>317</v>
      </c>
      <c r="S36" s="2" t="s">
        <v>3</v>
      </c>
      <c r="T36" t="s">
        <v>261</v>
      </c>
    </row>
    <row r="37" spans="1:20" x14ac:dyDescent="0.25">
      <c r="A37" t="s">
        <v>408</v>
      </c>
      <c r="B37" s="28" t="s">
        <v>312</v>
      </c>
      <c r="C37" t="s">
        <v>409</v>
      </c>
      <c r="D37" t="s">
        <v>410</v>
      </c>
      <c r="E37" t="s">
        <v>411</v>
      </c>
      <c r="F37" t="s">
        <v>225</v>
      </c>
      <c r="G37" t="s">
        <v>258</v>
      </c>
      <c r="H37" t="s">
        <v>3</v>
      </c>
      <c r="I37" t="s">
        <v>60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s="2" t="s">
        <v>3</v>
      </c>
      <c r="P37" t="s">
        <v>412</v>
      </c>
      <c r="Q37" t="s">
        <v>286</v>
      </c>
      <c r="R37" s="2" t="s">
        <v>317</v>
      </c>
      <c r="S37" s="2" t="s">
        <v>3</v>
      </c>
      <c r="T37" t="s">
        <v>261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1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4" max="4" width="28" customWidth="1"/>
    <col min="5" max="5" width="20" style="2" customWidth="1"/>
    <col min="6" max="6" width="24" customWidth="1"/>
    <col min="7" max="7" width="6" customWidth="1"/>
    <col min="8" max="9" width="10" customWidth="1"/>
    <col min="10" max="10" width="12" customWidth="1"/>
    <col min="11" max="11" width="7" customWidth="1"/>
    <col min="12" max="12" width="14" customWidth="1"/>
    <col min="13" max="13" width="11" style="29" customWidth="1"/>
    <col min="14" max="14" width="8" customWidth="1"/>
    <col min="15" max="15" width="30" customWidth="1"/>
    <col min="16" max="16" width="32" customWidth="1"/>
    <col min="17" max="17" width="20" customWidth="1"/>
    <col min="18" max="18" width="18" customWidth="1"/>
    <col min="19" max="19" width="15" customWidth="1"/>
    <col min="20" max="20" width="30" customWidth="1"/>
    <col min="21" max="21" width="14" customWidth="1"/>
    <col min="22" max="22" width="13" customWidth="1"/>
    <col min="32" max="32" width="8" customWidth="1"/>
    <col min="33" max="33" width="15" customWidth="1"/>
    <col min="34" max="39" width="11" customWidth="1"/>
    <col min="40" max="40" width="8" customWidth="1"/>
    <col min="41" max="41" width="10" customWidth="1"/>
    <col min="42" max="42" width="30" style="2" customWidth="1"/>
    <col min="43" max="44" width="11" customWidth="1"/>
    <col min="45" max="45" width="8" customWidth="1"/>
    <col min="47" max="49" width="12" customWidth="1"/>
    <col min="50" max="50" width="10" customWidth="1"/>
    <col min="51" max="51" width="11" customWidth="1"/>
  </cols>
  <sheetData>
    <row r="1" ht="90" customHeight="1" spans="1:51" x14ac:dyDescent="0.25">
      <c r="A1" s="5" t="s">
        <v>413</v>
      </c>
      <c r="B1" s="5" t="s">
        <v>168</v>
      </c>
      <c r="C1" s="5" t="s">
        <v>414</v>
      </c>
      <c r="D1" s="5" t="s">
        <v>236</v>
      </c>
      <c r="E1" s="6" t="s">
        <v>415</v>
      </c>
      <c r="F1" s="5" t="s">
        <v>416</v>
      </c>
      <c r="G1" s="5" t="s">
        <v>417</v>
      </c>
      <c r="H1" s="5" t="s">
        <v>418</v>
      </c>
      <c r="I1" s="5" t="s">
        <v>419</v>
      </c>
      <c r="J1" s="5" t="s">
        <v>420</v>
      </c>
      <c r="K1" s="5" t="s">
        <v>421</v>
      </c>
      <c r="L1" s="5" t="s">
        <v>422</v>
      </c>
      <c r="M1" s="30" t="s">
        <v>423</v>
      </c>
      <c r="N1" s="5" t="s">
        <v>169</v>
      </c>
      <c r="O1" s="5" t="s">
        <v>177</v>
      </c>
      <c r="P1" s="5" t="s">
        <v>178</v>
      </c>
      <c r="Q1" s="5" t="s">
        <v>180</v>
      </c>
      <c r="R1" s="5" t="s">
        <v>181</v>
      </c>
      <c r="S1" s="5" t="s">
        <v>424</v>
      </c>
      <c r="T1" s="5" t="s">
        <v>425</v>
      </c>
      <c r="U1" s="5" t="s">
        <v>426</v>
      </c>
      <c r="V1" s="5" t="s">
        <v>43</v>
      </c>
      <c r="W1" s="5" t="s">
        <v>427</v>
      </c>
      <c r="X1" s="5" t="s">
        <v>428</v>
      </c>
      <c r="Y1" s="5" t="s">
        <v>429</v>
      </c>
      <c r="Z1" s="5" t="s">
        <v>430</v>
      </c>
      <c r="AA1" s="5" t="s">
        <v>431</v>
      </c>
      <c r="AB1" s="5" t="s">
        <v>432</v>
      </c>
      <c r="AC1" s="5" t="s">
        <v>433</v>
      </c>
      <c r="AD1" s="5" t="s">
        <v>434</v>
      </c>
      <c r="AE1" s="5" t="s">
        <v>435</v>
      </c>
      <c r="AF1" s="5" t="s">
        <v>436</v>
      </c>
      <c r="AG1" s="5" t="s">
        <v>437</v>
      </c>
      <c r="AH1" s="5" t="s">
        <v>438</v>
      </c>
      <c r="AI1" s="5" t="s">
        <v>439</v>
      </c>
      <c r="AJ1" s="5" t="s">
        <v>440</v>
      </c>
      <c r="AK1" s="5" t="s">
        <v>441</v>
      </c>
      <c r="AL1" s="5" t="s">
        <v>442</v>
      </c>
      <c r="AM1" s="5" t="s">
        <v>443</v>
      </c>
      <c r="AN1" s="5" t="s">
        <v>444</v>
      </c>
      <c r="AO1" s="5" t="s">
        <v>35</v>
      </c>
      <c r="AP1" s="6" t="s">
        <v>445</v>
      </c>
      <c r="AQ1" s="5" t="s">
        <v>446</v>
      </c>
      <c r="AR1" s="5" t="s">
        <v>447</v>
      </c>
      <c r="AS1" s="5" t="s">
        <v>448</v>
      </c>
      <c r="AT1" s="5" t="s">
        <v>449</v>
      </c>
      <c r="AU1" s="5" t="s">
        <v>450</v>
      </c>
      <c r="AV1" s="5" t="s">
        <v>451</v>
      </c>
      <c r="AW1" s="5" t="s">
        <v>452</v>
      </c>
      <c r="AX1" s="5" t="s">
        <v>453</v>
      </c>
      <c r="AY1" s="5" t="s">
        <v>454</v>
      </c>
    </row>
    <row r="2" spans="1:51" x14ac:dyDescent="0.25">
      <c r="A2" t="s">
        <v>316</v>
      </c>
      <c r="B2" t="s">
        <v>455</v>
      </c>
      <c r="C2">
        <v>436</v>
      </c>
      <c r="D2" t="s">
        <v>313</v>
      </c>
      <c r="E2" s="2" t="s">
        <v>456</v>
      </c>
      <c r="F2" t="s">
        <v>457</v>
      </c>
      <c r="G2">
        <v>27</v>
      </c>
      <c r="H2" t="s">
        <v>458</v>
      </c>
      <c r="I2" t="s">
        <v>458</v>
      </c>
      <c r="J2" t="s">
        <v>459</v>
      </c>
      <c r="K2">
        <v>1</v>
      </c>
      <c r="L2" t="s">
        <v>184</v>
      </c>
      <c r="M2" s="29">
        <v>44735</v>
      </c>
      <c r="N2" t="s">
        <v>183</v>
      </c>
      <c r="O2" t="s">
        <v>189</v>
      </c>
      <c r="P2" t="s">
        <v>190</v>
      </c>
      <c r="Q2" t="s">
        <v>192</v>
      </c>
      <c r="R2" t="s">
        <v>193</v>
      </c>
      <c r="S2" t="s">
        <v>311</v>
      </c>
      <c r="T2" t="s">
        <v>314</v>
      </c>
      <c r="U2" t="s">
        <v>315</v>
      </c>
      <c r="V2" s="28" t="s">
        <v>52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f>IF(COUNT(W2:AE2)=0,"",SUM(W2:AE2))</f>
        <v>3</v>
      </c>
      <c r="AG2" s="7" t="str">
        <f>IF(AF2="","",LOOKUP(AF2,{0,5,10,15,20},{"Mínimo","Leve","Moderado","Moderado-severo","Severo"}))</f>
        <v>Mínimo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f>IF(COUNT(AH2:AM2)=0,"",SUM(AH2:AM2))</f>
        <v>2</v>
      </c>
      <c r="AO2" t="str">
        <f>IF(AN2="","",IF(AH2=0,"Baja",LOOKUP(AN2,{0,5,9},{"Baja","Media","Alta"})))</f>
        <v>Baja</v>
      </c>
      <c r="AP2" s="2" t="str">
        <f>IF(AN2="","",IF(AH2=0,"Sin teléfono: la capacidad digital queda en Baja.",IF(LOOKUP(AN2-AM2,{0,5,9},{"Baja","Media","Alta"})&lt;&gt;AO2,"El apoyo de un familiar sube el nivel de "&amp;LOOKUP(AN2-AM2,{0,5,9},{"Baja","Media","Alta"})&amp;" a "&amp;AO2&amp;".",IF(AM2=1,"Tiene apoyo de un familiar con el celular.",""))))</f>
        <v/>
      </c>
      <c r="AQ2">
        <v>0</v>
      </c>
      <c r="AR2">
        <v>0</v>
      </c>
      <c r="AS2" t="s">
        <v>44</v>
      </c>
      <c r="AT2" t="str">
        <f>IF(AF2="","","P"&amp;TEXT((MATCH(AF2,{0,5,10,15,20},1)-1)*3+IF(AH2=0,1,MATCH(AN2,{0,5,9},1)),"00"))</f>
        <v>P01</v>
      </c>
      <c r="AU2" t="str">
        <f>IF(AS2=AT2,"OK","REVISAR")</f>
        <v>OK</v>
      </c>
      <c r="AV2" t="str">
        <f>IF(INDEX(Territorios!$J:$J,MATCH(N2,Territorios!$A:$A,0))=O2,"OK","REVISAR")</f>
        <v>OK</v>
      </c>
      <c r="AW2" t="str">
        <f>IF(INDEX(Territorios!$K:$K,MATCH(N2,Territorios!$A:$A,0))=P2,"OK","REVISAR")</f>
        <v>OK</v>
      </c>
      <c r="AX2" t="str">
        <f>IF(G2&gt;=18,"OK","REVISAR")</f>
        <v>OK</v>
      </c>
      <c r="AY2" t="str">
        <f>IF(COUNT(AH2:AM2)=0,"OK",IF(AJ2&gt;AH2,"REVISAR","OK"))</f>
        <v>OK</v>
      </c>
    </row>
    <row r="3" spans="1:51" x14ac:dyDescent="0.25">
      <c r="A3" t="s">
        <v>322</v>
      </c>
      <c r="B3" t="s">
        <v>460</v>
      </c>
      <c r="C3">
        <v>496</v>
      </c>
      <c r="D3" t="s">
        <v>319</v>
      </c>
      <c r="E3" s="2" t="s">
        <v>456</v>
      </c>
      <c r="F3" t="s">
        <v>461</v>
      </c>
      <c r="G3">
        <v>28</v>
      </c>
      <c r="H3" t="s">
        <v>462</v>
      </c>
      <c r="I3" t="s">
        <v>462</v>
      </c>
      <c r="J3" t="s">
        <v>463</v>
      </c>
      <c r="K3">
        <v>1</v>
      </c>
      <c r="L3" t="s">
        <v>184</v>
      </c>
      <c r="M3" s="29">
        <v>44736</v>
      </c>
      <c r="N3" t="s">
        <v>183</v>
      </c>
      <c r="O3" t="s">
        <v>189</v>
      </c>
      <c r="P3" t="s">
        <v>190</v>
      </c>
      <c r="Q3" t="s">
        <v>192</v>
      </c>
      <c r="R3" t="s">
        <v>193</v>
      </c>
      <c r="S3" t="s">
        <v>318</v>
      </c>
      <c r="T3" t="s">
        <v>320</v>
      </c>
      <c r="U3" t="s">
        <v>321</v>
      </c>
      <c r="V3" s="25" t="s">
        <v>60</v>
      </c>
      <c r="W3">
        <v>2</v>
      </c>
      <c r="X3">
        <v>2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f>IF(COUNT(W3:AE3)=0,"",SUM(W3:AE3))</f>
        <v>8</v>
      </c>
      <c r="AG3" s="8" t="str">
        <f>IF(AF3="","",LOOKUP(AF3,{0,5,10,15,20},{"Mínimo","Leve","Moderado","Moderado-severo","Severo"}))</f>
        <v>Leve</v>
      </c>
      <c r="AH3">
        <v>1</v>
      </c>
      <c r="AI3">
        <v>1</v>
      </c>
      <c r="AJ3">
        <v>1</v>
      </c>
      <c r="AK3">
        <v>1</v>
      </c>
      <c r="AL3">
        <v>0</v>
      </c>
      <c r="AM3">
        <v>1</v>
      </c>
      <c r="AN3">
        <f>IF(COUNT(AH3:AM3)=0,"",SUM(AH3:AM3))</f>
        <v>5</v>
      </c>
      <c r="AO3" t="str">
        <f>IF(AN3="","",IF(AH3=0,"Baja",LOOKUP(AN3,{0,5,9},{"Baja","Media","Alta"})))</f>
        <v>Media</v>
      </c>
      <c r="AP3" s="2" t="str">
        <f>IF(AN3="","",IF(AH3=0,"Sin teléfono: la capacidad digital queda en Baja.",IF(LOOKUP(AN3-AM3,{0,5,9},{"Baja","Media","Alta"})&lt;&gt;AO3,"El apoyo de un familiar sube el nivel de "&amp;LOOKUP(AN3-AM3,{0,5,9},{"Baja","Media","Alta"})&amp;" a "&amp;AO3&amp;".",IF(AM3=1,"Tiene apoyo de un familiar con el celular.",""))))</f>
        <v>El apoyo de un familiar sube el nivel de Baja a Media.</v>
      </c>
      <c r="AQ3">
        <v>0</v>
      </c>
      <c r="AR3">
        <v>0</v>
      </c>
      <c r="AS3" t="s">
        <v>74</v>
      </c>
      <c r="AT3" t="str">
        <f>IF(AF3="","","P"&amp;TEXT((MATCH(AF3,{0,5,10,15,20},1)-1)*3+IF(AH3=0,1,MATCH(AN3,{0,5,9},1)),"00"))</f>
        <v>P05</v>
      </c>
      <c r="AU3" t="str">
        <f>IF(AS3=AT3,"OK","REVISAR")</f>
        <v>OK</v>
      </c>
      <c r="AV3" t="str">
        <f>IF(INDEX(Territorios!$J:$J,MATCH(N3,Territorios!$A:$A,0))=O3,"OK","REVISAR")</f>
        <v>OK</v>
      </c>
      <c r="AW3" t="str">
        <f>IF(INDEX(Territorios!$K:$K,MATCH(N3,Territorios!$A:$A,0))=P3,"OK","REVISAR")</f>
        <v>OK</v>
      </c>
      <c r="AX3" t="str">
        <f>IF(G3&gt;=18,"OK","REVISAR")</f>
        <v>OK</v>
      </c>
      <c r="AY3" t="str">
        <f>IF(COUNT(AH3:AM3)=0,"OK",IF(AJ3&gt;AH3,"REVISAR","OK"))</f>
        <v>OK</v>
      </c>
    </row>
    <row r="4" spans="1:51" x14ac:dyDescent="0.25">
      <c r="A4" t="s">
        <v>327</v>
      </c>
      <c r="B4" t="s">
        <v>464</v>
      </c>
      <c r="C4">
        <v>135</v>
      </c>
      <c r="D4" t="s">
        <v>324</v>
      </c>
      <c r="E4" s="2" t="s">
        <v>456</v>
      </c>
      <c r="F4" t="s">
        <v>465</v>
      </c>
      <c r="G4">
        <v>45</v>
      </c>
      <c r="H4" t="s">
        <v>458</v>
      </c>
      <c r="I4" t="s">
        <v>458</v>
      </c>
      <c r="J4" t="s">
        <v>466</v>
      </c>
      <c r="K4">
        <v>6</v>
      </c>
      <c r="L4" t="s">
        <v>184</v>
      </c>
      <c r="M4" s="29">
        <v>44708</v>
      </c>
      <c r="N4" t="s">
        <v>183</v>
      </c>
      <c r="O4" t="s">
        <v>189</v>
      </c>
      <c r="P4" t="s">
        <v>190</v>
      </c>
      <c r="Q4" t="s">
        <v>192</v>
      </c>
      <c r="R4" t="s">
        <v>193</v>
      </c>
      <c r="S4" t="s">
        <v>323</v>
      </c>
      <c r="T4" t="s">
        <v>325</v>
      </c>
      <c r="U4" t="s">
        <v>326</v>
      </c>
      <c r="V4" s="9" t="s">
        <v>68</v>
      </c>
      <c r="W4">
        <v>2</v>
      </c>
      <c r="X4">
        <v>1</v>
      </c>
      <c r="Y4">
        <v>2</v>
      </c>
      <c r="Z4">
        <v>2</v>
      </c>
      <c r="AA4">
        <v>2</v>
      </c>
      <c r="AB4">
        <v>1</v>
      </c>
      <c r="AC4">
        <v>2</v>
      </c>
      <c r="AD4">
        <v>1</v>
      </c>
      <c r="AE4">
        <v>0</v>
      </c>
      <c r="AF4">
        <f>IF(COUNT(W4:AE4)=0,"",SUM(W4:AE4))</f>
        <v>13</v>
      </c>
      <c r="AG4" s="9" t="str">
        <f>IF(AF4="","",LOOKUP(AF4,{0,5,10,15,20},{"Mínimo","Leve","Moderado","Moderado-severo","Severo"}))</f>
        <v>Moderado</v>
      </c>
      <c r="AH4">
        <v>2</v>
      </c>
      <c r="AI4">
        <v>2</v>
      </c>
      <c r="AJ4">
        <v>2</v>
      </c>
      <c r="AK4">
        <v>1</v>
      </c>
      <c r="AL4">
        <v>2</v>
      </c>
      <c r="AM4">
        <v>0</v>
      </c>
      <c r="AN4">
        <f>IF(COUNT(AH4:AM4)=0,"",SUM(AH4:AM4))</f>
        <v>9</v>
      </c>
      <c r="AO4" t="str">
        <f>IF(AN4="","",IF(AH4=0,"Baja",LOOKUP(AN4,{0,5,9},{"Baja","Media","Alta"})))</f>
        <v>Alta</v>
      </c>
      <c r="AP4" s="2" t="str">
        <f>IF(AN4="","",IF(AH4=0,"Sin teléfono: la capacidad digital queda en Baja.",IF(LOOKUP(AN4-AM4,{0,5,9},{"Baja","Media","Alta"})&lt;&gt;AO4,"El apoyo de un familiar sube el nivel de "&amp;LOOKUP(AN4-AM4,{0,5,9},{"Baja","Media","Alta"})&amp;" a "&amp;AO4&amp;".",IF(AM4=1,"Tiene apoyo de un familiar con el celular.",""))))</f>
        <v/>
      </c>
      <c r="AQ4">
        <v>0</v>
      </c>
      <c r="AR4">
        <v>0</v>
      </c>
      <c r="AS4" t="s">
        <v>89</v>
      </c>
      <c r="AT4" t="str">
        <f>IF(AF4="","","P"&amp;TEXT((MATCH(AF4,{0,5,10,15,20},1)-1)*3+IF(AH4=0,1,MATCH(AN4,{0,5,9},1)),"00"))</f>
        <v>P09</v>
      </c>
      <c r="AU4" t="str">
        <f>IF(AS4=AT4,"OK","REVISAR")</f>
        <v>OK</v>
      </c>
      <c r="AV4" t="str">
        <f>IF(INDEX(Territorios!$J:$J,MATCH(N4,Territorios!$A:$A,0))=O4,"OK","REVISAR")</f>
        <v>OK</v>
      </c>
      <c r="AW4" t="str">
        <f>IF(INDEX(Territorios!$K:$K,MATCH(N4,Territorios!$A:$A,0))=P4,"OK","REVISAR")</f>
        <v>OK</v>
      </c>
      <c r="AX4" t="str">
        <f>IF(G4&gt;=18,"OK","REVISAR")</f>
        <v>OK</v>
      </c>
      <c r="AY4" t="str">
        <f>IF(COUNT(AH4:AM4)=0,"OK",IF(AJ4&gt;AH4,"REVISAR","OK"))</f>
        <v>OK</v>
      </c>
    </row>
    <row r="5" spans="1:51" x14ac:dyDescent="0.25">
      <c r="A5" t="s">
        <v>332</v>
      </c>
      <c r="B5" t="s">
        <v>467</v>
      </c>
      <c r="C5">
        <v>435</v>
      </c>
      <c r="D5" t="s">
        <v>329</v>
      </c>
      <c r="E5" s="2" t="s">
        <v>456</v>
      </c>
      <c r="F5" t="s">
        <v>468</v>
      </c>
      <c r="G5">
        <v>35</v>
      </c>
      <c r="H5" t="s">
        <v>458</v>
      </c>
      <c r="I5" t="s">
        <v>458</v>
      </c>
      <c r="J5" t="s">
        <v>463</v>
      </c>
      <c r="K5">
        <v>3</v>
      </c>
      <c r="L5" t="s">
        <v>196</v>
      </c>
      <c r="M5" s="29">
        <v>44735</v>
      </c>
      <c r="N5" t="s">
        <v>195</v>
      </c>
      <c r="O5" t="s">
        <v>198</v>
      </c>
      <c r="P5" t="s">
        <v>199</v>
      </c>
      <c r="Q5" t="s">
        <v>201</v>
      </c>
      <c r="R5" t="s">
        <v>202</v>
      </c>
      <c r="S5" t="s">
        <v>328</v>
      </c>
      <c r="T5" t="s">
        <v>330</v>
      </c>
      <c r="U5" t="s">
        <v>331</v>
      </c>
      <c r="V5" s="25" t="s">
        <v>60</v>
      </c>
      <c r="W5">
        <v>1</v>
      </c>
      <c r="X5">
        <v>1</v>
      </c>
      <c r="Y5">
        <v>2</v>
      </c>
      <c r="Z5">
        <v>2</v>
      </c>
      <c r="AA5">
        <v>1</v>
      </c>
      <c r="AB5">
        <v>0</v>
      </c>
      <c r="AC5">
        <v>0</v>
      </c>
      <c r="AD5">
        <v>0</v>
      </c>
      <c r="AE5">
        <v>0</v>
      </c>
      <c r="AF5">
        <f>IF(COUNT(W5:AE5)=0,"",SUM(W5:AE5))</f>
        <v>7</v>
      </c>
      <c r="AG5" s="8" t="str">
        <f>IF(AF5="","",LOOKUP(AF5,{0,5,10,15,20},{"Mínimo","Leve","Moderado","Moderado-severo","Severo"}))</f>
        <v>Leve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f>IF(COUNT(AH5:AM5)=0,"",SUM(AH5:AM5))</f>
        <v>3</v>
      </c>
      <c r="AO5" t="str">
        <f>IF(AN5="","",IF(AH5=0,"Baja",LOOKUP(AN5,{0,5,9},{"Baja","Media","Alta"})))</f>
        <v>Baja</v>
      </c>
      <c r="AP5" s="2" t="str">
        <f>IF(AN5="","",IF(AH5=0,"Sin teléfono: la capacidad digital queda en Baja.",IF(LOOKUP(AN5-AM5,{0,5,9},{"Baja","Media","Alta"})&lt;&gt;AO5,"El apoyo de un familiar sube el nivel de "&amp;LOOKUP(AN5-AM5,{0,5,9},{"Baja","Media","Alta"})&amp;" a "&amp;AO5&amp;".",IF(AM5=1,"Tiene apoyo de un familiar con el celular.",""))))</f>
        <v/>
      </c>
      <c r="AQ5">
        <v>0</v>
      </c>
      <c r="AR5">
        <v>0</v>
      </c>
      <c r="AS5" t="s">
        <v>69</v>
      </c>
      <c r="AT5" t="str">
        <f>IF(AF5="","","P"&amp;TEXT((MATCH(AF5,{0,5,10,15,20},1)-1)*3+IF(AH5=0,1,MATCH(AN5,{0,5,9},1)),"00"))</f>
        <v>P04</v>
      </c>
      <c r="AU5" t="str">
        <f>IF(AS5=AT5,"OK","REVISAR")</f>
        <v>OK</v>
      </c>
      <c r="AV5" t="str">
        <f>IF(INDEX(Territorios!$J:$J,MATCH(N5,Territorios!$A:$A,0))=O5,"OK","REVISAR")</f>
        <v>OK</v>
      </c>
      <c r="AW5" t="str">
        <f>IF(INDEX(Territorios!$K:$K,MATCH(N5,Territorios!$A:$A,0))=P5,"OK","REVISAR")</f>
        <v>OK</v>
      </c>
      <c r="AX5" t="str">
        <f>IF(G5&gt;=18,"OK","REVISAR")</f>
        <v>OK</v>
      </c>
      <c r="AY5" t="str">
        <f>IF(COUNT(AH5:AM5)=0,"OK",IF(AJ5&gt;AH5,"REVISAR","OK"))</f>
        <v>OK</v>
      </c>
    </row>
    <row r="6" spans="1:51" x14ac:dyDescent="0.25">
      <c r="A6" t="s">
        <v>337</v>
      </c>
      <c r="B6" t="s">
        <v>469</v>
      </c>
      <c r="C6">
        <v>434</v>
      </c>
      <c r="D6" t="s">
        <v>334</v>
      </c>
      <c r="E6" s="2" t="s">
        <v>456</v>
      </c>
      <c r="F6" t="s">
        <v>334</v>
      </c>
      <c r="G6">
        <v>21</v>
      </c>
      <c r="H6" t="s">
        <v>458</v>
      </c>
      <c r="I6" t="s">
        <v>458</v>
      </c>
      <c r="J6" t="s">
        <v>463</v>
      </c>
      <c r="K6">
        <v>2</v>
      </c>
      <c r="L6" t="s">
        <v>196</v>
      </c>
      <c r="M6" s="29">
        <v>44735</v>
      </c>
      <c r="N6" t="s">
        <v>195</v>
      </c>
      <c r="O6" t="s">
        <v>198</v>
      </c>
      <c r="P6" t="s">
        <v>199</v>
      </c>
      <c r="Q6" t="s">
        <v>201</v>
      </c>
      <c r="R6" t="s">
        <v>202</v>
      </c>
      <c r="S6" t="s">
        <v>333</v>
      </c>
      <c r="T6" t="s">
        <v>335</v>
      </c>
      <c r="U6" t="s">
        <v>336</v>
      </c>
      <c r="V6" s="9" t="s">
        <v>68</v>
      </c>
      <c r="W6">
        <v>2</v>
      </c>
      <c r="X6">
        <v>2</v>
      </c>
      <c r="Y6">
        <v>1</v>
      </c>
      <c r="Z6">
        <v>2</v>
      </c>
      <c r="AA6">
        <v>1</v>
      </c>
      <c r="AB6">
        <v>1</v>
      </c>
      <c r="AC6">
        <v>1</v>
      </c>
      <c r="AD6">
        <v>1</v>
      </c>
      <c r="AE6">
        <v>0</v>
      </c>
      <c r="AF6">
        <f>IF(COUNT(W6:AE6)=0,"",SUM(W6:AE6))</f>
        <v>11</v>
      </c>
      <c r="AG6" s="9" t="str">
        <f>IF(AF6="","",LOOKUP(AF6,{0,5,10,15,20},{"Mínimo","Leve","Moderado","Moderado-severo","Severo"}))</f>
        <v>Moderado</v>
      </c>
      <c r="AH6">
        <v>2</v>
      </c>
      <c r="AI6">
        <v>1</v>
      </c>
      <c r="AJ6">
        <v>1</v>
      </c>
      <c r="AK6">
        <v>2</v>
      </c>
      <c r="AL6">
        <v>1</v>
      </c>
      <c r="AM6">
        <v>0</v>
      </c>
      <c r="AN6">
        <f>IF(COUNT(AH6:AM6)=0,"",SUM(AH6:AM6))</f>
        <v>7</v>
      </c>
      <c r="AO6" t="str">
        <f>IF(AN6="","",IF(AH6=0,"Baja",LOOKUP(AN6,{0,5,9},{"Baja","Media","Alta"})))</f>
        <v>Media</v>
      </c>
      <c r="AP6" s="2" t="str">
        <f>IF(AN6="","",IF(AH6=0,"Sin teléfono: la capacidad digital queda en Baja.",IF(LOOKUP(AN6-AM6,{0,5,9},{"Baja","Media","Alta"})&lt;&gt;AO6,"El apoyo de un familiar sube el nivel de "&amp;LOOKUP(AN6-AM6,{0,5,9},{"Baja","Media","Alta"})&amp;" a "&amp;AO6&amp;".",IF(AM6=1,"Tiene apoyo de un familiar con el celular.",""))))</f>
        <v/>
      </c>
      <c r="AQ6">
        <v>0</v>
      </c>
      <c r="AR6">
        <v>0</v>
      </c>
      <c r="AS6" t="s">
        <v>85</v>
      </c>
      <c r="AT6" t="str">
        <f>IF(AF6="","","P"&amp;TEXT((MATCH(AF6,{0,5,10,15,20},1)-1)*3+IF(AH6=0,1,MATCH(AN6,{0,5,9},1)),"00"))</f>
        <v>P08</v>
      </c>
      <c r="AU6" t="str">
        <f>IF(AS6=AT6,"OK","REVISAR")</f>
        <v>OK</v>
      </c>
      <c r="AV6" t="str">
        <f>IF(INDEX(Territorios!$J:$J,MATCH(N6,Territorios!$A:$A,0))=O6,"OK","REVISAR")</f>
        <v>OK</v>
      </c>
      <c r="AW6" t="str">
        <f>IF(INDEX(Territorios!$K:$K,MATCH(N6,Territorios!$A:$A,0))=P6,"OK","REVISAR")</f>
        <v>OK</v>
      </c>
      <c r="AX6" t="str">
        <f>IF(G6&gt;=18,"OK","REVISAR")</f>
        <v>OK</v>
      </c>
      <c r="AY6" t="str">
        <f>IF(COUNT(AH6:AM6)=0,"OK",IF(AJ6&gt;AH6,"REVISAR","OK"))</f>
        <v>OK</v>
      </c>
    </row>
    <row r="7" spans="1:51" x14ac:dyDescent="0.25">
      <c r="A7" t="s">
        <v>342</v>
      </c>
      <c r="B7" t="s">
        <v>470</v>
      </c>
      <c r="C7">
        <v>365</v>
      </c>
      <c r="D7" t="s">
        <v>339</v>
      </c>
      <c r="E7" s="2" t="s">
        <v>456</v>
      </c>
      <c r="F7" t="s">
        <v>339</v>
      </c>
      <c r="G7">
        <v>28</v>
      </c>
      <c r="H7" t="s">
        <v>458</v>
      </c>
      <c r="I7" t="s">
        <v>458</v>
      </c>
      <c r="J7" t="s">
        <v>463</v>
      </c>
      <c r="K7">
        <v>4</v>
      </c>
      <c r="L7" t="s">
        <v>196</v>
      </c>
      <c r="M7" s="29">
        <v>44729</v>
      </c>
      <c r="N7" t="s">
        <v>195</v>
      </c>
      <c r="O7" t="s">
        <v>198</v>
      </c>
      <c r="P7" t="s">
        <v>199</v>
      </c>
      <c r="Q7" t="s">
        <v>201</v>
      </c>
      <c r="R7" t="s">
        <v>202</v>
      </c>
      <c r="S7" t="s">
        <v>338</v>
      </c>
      <c r="T7" t="s">
        <v>340</v>
      </c>
      <c r="U7" t="s">
        <v>341</v>
      </c>
      <c r="V7" s="25" t="s">
        <v>60</v>
      </c>
      <c r="W7">
        <v>2</v>
      </c>
      <c r="X7">
        <v>3</v>
      </c>
      <c r="Y7">
        <v>3</v>
      </c>
      <c r="Z7">
        <v>2</v>
      </c>
      <c r="AA7">
        <v>2</v>
      </c>
      <c r="AB7">
        <v>2</v>
      </c>
      <c r="AC7">
        <v>2</v>
      </c>
      <c r="AD7">
        <v>2</v>
      </c>
      <c r="AE7">
        <v>0</v>
      </c>
      <c r="AF7">
        <f>IF(COUNT(W7:AE7)=0,"",SUM(W7:AE7))</f>
        <v>18</v>
      </c>
      <c r="AG7" s="10" t="str">
        <f>IF(AF7="","",LOOKUP(AF7,{0,5,10,15,20},{"Mínimo","Leve","Moderado","Moderado-severo","Severo"}))</f>
        <v>Moderado-severo</v>
      </c>
      <c r="AH7">
        <v>2</v>
      </c>
      <c r="AI7">
        <v>1</v>
      </c>
      <c r="AJ7">
        <v>2</v>
      </c>
      <c r="AK7">
        <v>2</v>
      </c>
      <c r="AL7">
        <v>2</v>
      </c>
      <c r="AM7">
        <v>1</v>
      </c>
      <c r="AN7">
        <f>IF(COUNT(AH7:AM7)=0,"",SUM(AH7:AM7))</f>
        <v>10</v>
      </c>
      <c r="AO7" t="str">
        <f>IF(AN7="","",IF(AH7=0,"Baja",LOOKUP(AN7,{0,5,9},{"Baja","Media","Alta"})))</f>
        <v>Alta</v>
      </c>
      <c r="AP7" s="2" t="str">
        <f>IF(AN7="","",IF(AH7=0,"Sin teléfono: la capacidad digital queda en Baja.",IF(LOOKUP(AN7-AM7,{0,5,9},{"Baja","Media","Alta"})&lt;&gt;AO7,"El apoyo de un familiar sube el nivel de "&amp;LOOKUP(AN7-AM7,{0,5,9},{"Baja","Media","Alta"})&amp;" a "&amp;AO7&amp;".",IF(AM7=1,"Tiene apoyo de un familiar con el celular.",""))))</f>
        <v>Tiene apoyo de un familiar con el celular.</v>
      </c>
      <c r="AQ7">
        <v>0</v>
      </c>
      <c r="AR7">
        <v>0</v>
      </c>
      <c r="AS7" t="s">
        <v>105</v>
      </c>
      <c r="AT7" t="str">
        <f>IF(AF7="","","P"&amp;TEXT((MATCH(AF7,{0,5,10,15,20},1)-1)*3+IF(AH7=0,1,MATCH(AN7,{0,5,9},1)),"00"))</f>
        <v>P12</v>
      </c>
      <c r="AU7" t="str">
        <f>IF(AS7=AT7,"OK","REVISAR")</f>
        <v>OK</v>
      </c>
      <c r="AV7" t="str">
        <f>IF(INDEX(Territorios!$J:$J,MATCH(N7,Territorios!$A:$A,0))=O7,"OK","REVISAR")</f>
        <v>OK</v>
      </c>
      <c r="AW7" t="str">
        <f>IF(INDEX(Territorios!$K:$K,MATCH(N7,Territorios!$A:$A,0))=P7,"OK","REVISAR")</f>
        <v>OK</v>
      </c>
      <c r="AX7" t="str">
        <f>IF(G7&gt;=18,"OK","REVISAR")</f>
        <v>OK</v>
      </c>
      <c r="AY7" t="str">
        <f>IF(COUNT(AH7:AM7)=0,"OK",IF(AJ7&gt;AH7,"REVISAR","OK"))</f>
        <v>OK</v>
      </c>
    </row>
    <row r="8" spans="1:51" x14ac:dyDescent="0.25">
      <c r="A8" t="s">
        <v>347</v>
      </c>
      <c r="B8" t="s">
        <v>471</v>
      </c>
      <c r="C8">
        <v>347</v>
      </c>
      <c r="D8" t="s">
        <v>344</v>
      </c>
      <c r="E8" s="2" t="s">
        <v>472</v>
      </c>
      <c r="F8" t="s">
        <v>473</v>
      </c>
      <c r="G8">
        <v>57</v>
      </c>
      <c r="H8" t="s">
        <v>458</v>
      </c>
      <c r="I8" t="s">
        <v>458</v>
      </c>
      <c r="J8" t="s">
        <v>474</v>
      </c>
      <c r="K8">
        <v>3</v>
      </c>
      <c r="L8" t="s">
        <v>205</v>
      </c>
      <c r="M8" s="29">
        <v>44728</v>
      </c>
      <c r="N8" t="s">
        <v>204</v>
      </c>
      <c r="O8" t="s">
        <v>208</v>
      </c>
      <c r="P8" t="s">
        <v>209</v>
      </c>
      <c r="Q8" t="s">
        <v>211</v>
      </c>
      <c r="R8" t="s">
        <v>212</v>
      </c>
      <c r="S8" t="s">
        <v>343</v>
      </c>
      <c r="T8" t="s">
        <v>345</v>
      </c>
      <c r="U8" t="s">
        <v>346</v>
      </c>
      <c r="V8" s="25" t="s">
        <v>60</v>
      </c>
      <c r="W8">
        <v>2</v>
      </c>
      <c r="X8">
        <v>2</v>
      </c>
      <c r="Y8">
        <v>2</v>
      </c>
      <c r="Z8">
        <v>2</v>
      </c>
      <c r="AA8">
        <v>1</v>
      </c>
      <c r="AB8">
        <v>1</v>
      </c>
      <c r="AC8">
        <v>1</v>
      </c>
      <c r="AD8">
        <v>1</v>
      </c>
      <c r="AE8">
        <v>0</v>
      </c>
      <c r="AF8">
        <f>IF(COUNT(W8:AE8)=0,"",SUM(W8:AE8))</f>
        <v>12</v>
      </c>
      <c r="AG8" s="9" t="str">
        <f>IF(AF8="","",LOOKUP(AF8,{0,5,10,15,20},{"Mínimo","Leve","Moderado","Moderado-severo","Severo"}))</f>
        <v>Moderado</v>
      </c>
      <c r="AH8">
        <v>1</v>
      </c>
      <c r="AI8">
        <v>1</v>
      </c>
      <c r="AJ8">
        <v>1</v>
      </c>
      <c r="AK8">
        <v>0</v>
      </c>
      <c r="AL8">
        <v>1</v>
      </c>
      <c r="AM8">
        <v>0</v>
      </c>
      <c r="AN8">
        <f>IF(COUNT(AH8:AM8)=0,"",SUM(AH8:AM8))</f>
        <v>4</v>
      </c>
      <c r="AO8" t="str">
        <f>IF(AN8="","",IF(AH8=0,"Baja",LOOKUP(AN8,{0,5,9},{"Baja","Media","Alta"})))</f>
        <v>Baja</v>
      </c>
      <c r="AP8" s="2" t="str">
        <f>IF(AN8="","",IF(AH8=0,"Sin teléfono: la capacidad digital queda en Baja.",IF(LOOKUP(AN8-AM8,{0,5,9},{"Baja","Media","Alta"})&lt;&gt;AO8,"El apoyo de un familiar sube el nivel de "&amp;LOOKUP(AN8-AM8,{0,5,9},{"Baja","Media","Alta"})&amp;" a "&amp;AO8&amp;".",IF(AM8=1,"Tiene apoyo de un familiar con el celular.",""))))</f>
        <v/>
      </c>
      <c r="AQ8">
        <v>0</v>
      </c>
      <c r="AR8">
        <v>0</v>
      </c>
      <c r="AS8" t="s">
        <v>80</v>
      </c>
      <c r="AT8" t="str">
        <f>IF(AF8="","","P"&amp;TEXT((MATCH(AF8,{0,5,10,15,20},1)-1)*3+IF(AH8=0,1,MATCH(AN8,{0,5,9},1)),"00"))</f>
        <v>P07</v>
      </c>
      <c r="AU8" t="str">
        <f>IF(AS8=AT8,"OK","REVISAR")</f>
        <v>OK</v>
      </c>
      <c r="AV8" t="str">
        <f>IF(INDEX(Territorios!$J:$J,MATCH(N8,Territorios!$A:$A,0))=O8,"OK","REVISAR")</f>
        <v>OK</v>
      </c>
      <c r="AW8" t="str">
        <f>IF(INDEX(Territorios!$K:$K,MATCH(N8,Territorios!$A:$A,0))=P8,"OK","REVISAR")</f>
        <v>OK</v>
      </c>
      <c r="AX8" t="str">
        <f>IF(G8&gt;=18,"OK","REVISAR")</f>
        <v>OK</v>
      </c>
      <c r="AY8" t="str">
        <f>IF(COUNT(AH8:AM8)=0,"OK",IF(AJ8&gt;AH8,"REVISAR","OK"))</f>
        <v>OK</v>
      </c>
    </row>
    <row r="9" spans="1:51" x14ac:dyDescent="0.25">
      <c r="A9" t="s">
        <v>352</v>
      </c>
      <c r="B9" t="s">
        <v>475</v>
      </c>
      <c r="C9">
        <v>321</v>
      </c>
      <c r="D9" t="s">
        <v>349</v>
      </c>
      <c r="E9" s="2" t="s">
        <v>472</v>
      </c>
      <c r="F9" t="s">
        <v>476</v>
      </c>
      <c r="G9">
        <v>31</v>
      </c>
      <c r="H9" t="s">
        <v>458</v>
      </c>
      <c r="I9" t="s">
        <v>458</v>
      </c>
      <c r="J9" t="s">
        <v>459</v>
      </c>
      <c r="K9">
        <v>2</v>
      </c>
      <c r="L9" t="s">
        <v>477</v>
      </c>
      <c r="M9" s="29">
        <v>44724</v>
      </c>
      <c r="N9" t="s">
        <v>204</v>
      </c>
      <c r="O9" t="s">
        <v>208</v>
      </c>
      <c r="P9" t="s">
        <v>209</v>
      </c>
      <c r="Q9" t="s">
        <v>211</v>
      </c>
      <c r="R9" t="s">
        <v>212</v>
      </c>
      <c r="S9" t="s">
        <v>348</v>
      </c>
      <c r="T9" t="s">
        <v>350</v>
      </c>
      <c r="U9" t="s">
        <v>351</v>
      </c>
      <c r="V9" s="10" t="s">
        <v>104</v>
      </c>
      <c r="W9">
        <v>3</v>
      </c>
      <c r="X9">
        <v>2</v>
      </c>
      <c r="Y9">
        <v>1</v>
      </c>
      <c r="Z9">
        <v>2</v>
      </c>
      <c r="AA9">
        <v>2</v>
      </c>
      <c r="AB9">
        <v>2</v>
      </c>
      <c r="AC9">
        <v>2</v>
      </c>
      <c r="AD9">
        <v>2</v>
      </c>
      <c r="AE9">
        <v>0</v>
      </c>
      <c r="AF9">
        <f>IF(COUNT(W9:AE9)=0,"",SUM(W9:AE9))</f>
        <v>16</v>
      </c>
      <c r="AG9" s="10" t="str">
        <f>IF(AF9="","",LOOKUP(AF9,{0,5,10,15,20},{"Mínimo","Leve","Moderado","Moderado-severo","Severo"}))</f>
        <v>Moderado-severo</v>
      </c>
      <c r="AH9">
        <v>2</v>
      </c>
      <c r="AI9">
        <v>2</v>
      </c>
      <c r="AJ9">
        <v>1</v>
      </c>
      <c r="AK9">
        <v>1</v>
      </c>
      <c r="AL9">
        <v>2</v>
      </c>
      <c r="AM9">
        <v>0</v>
      </c>
      <c r="AN9">
        <f>IF(COUNT(AH9:AM9)=0,"",SUM(AH9:AM9))</f>
        <v>8</v>
      </c>
      <c r="AO9" t="str">
        <f>IF(AN9="","",IF(AH9=0,"Baja",LOOKUP(AN9,{0,5,9},{"Baja","Media","Alta"})))</f>
        <v>Media</v>
      </c>
      <c r="AP9" s="2" t="str">
        <f>IF(AN9="","",IF(AH9=0,"Sin teléfono: la capacidad digital queda en Baja.",IF(LOOKUP(AN9-AM9,{0,5,9},{"Baja","Media","Alta"})&lt;&gt;AO9,"El apoyo de un familiar sube el nivel de "&amp;LOOKUP(AN9-AM9,{0,5,9},{"Baja","Media","Alta"})&amp;" a "&amp;AO9&amp;".",IF(AM9=1,"Tiene apoyo de un familiar con el celular.",""))))</f>
        <v/>
      </c>
      <c r="AQ9">
        <v>0</v>
      </c>
      <c r="AR9">
        <v>0</v>
      </c>
      <c r="AS9" t="s">
        <v>100</v>
      </c>
      <c r="AT9" t="str">
        <f>IF(AF9="","","P"&amp;TEXT((MATCH(AF9,{0,5,10,15,20},1)-1)*3+IF(AH9=0,1,MATCH(AN9,{0,5,9},1)),"00"))</f>
        <v>P11</v>
      </c>
      <c r="AU9" t="str">
        <f>IF(AS9=AT9,"OK","REVISAR")</f>
        <v>OK</v>
      </c>
      <c r="AV9" t="str">
        <f>IF(INDEX(Territorios!$J:$J,MATCH(N9,Territorios!$A:$A,0))=O9,"OK","REVISAR")</f>
        <v>OK</v>
      </c>
      <c r="AW9" t="str">
        <f>IF(INDEX(Territorios!$K:$K,MATCH(N9,Territorios!$A:$A,0))=P9,"OK","REVISAR")</f>
        <v>OK</v>
      </c>
      <c r="AX9" t="str">
        <f>IF(G9&gt;=18,"OK","REVISAR")</f>
        <v>OK</v>
      </c>
      <c r="AY9" t="str">
        <f>IF(COUNT(AH9:AM9)=0,"OK",IF(AJ9&gt;AH9,"REVISAR","OK"))</f>
        <v>OK</v>
      </c>
    </row>
    <row r="10" spans="1:51" x14ac:dyDescent="0.25">
      <c r="A10" t="s">
        <v>357</v>
      </c>
      <c r="B10" t="s">
        <v>478</v>
      </c>
      <c r="C10">
        <v>237</v>
      </c>
      <c r="D10" t="s">
        <v>354</v>
      </c>
      <c r="E10" s="2" t="s">
        <v>472</v>
      </c>
      <c r="F10" t="s">
        <v>479</v>
      </c>
      <c r="G10">
        <v>27</v>
      </c>
      <c r="H10" t="s">
        <v>458</v>
      </c>
      <c r="I10" t="s">
        <v>458</v>
      </c>
      <c r="J10" t="s">
        <v>463</v>
      </c>
      <c r="K10">
        <v>5</v>
      </c>
      <c r="L10" t="s">
        <v>205</v>
      </c>
      <c r="M10" s="29">
        <v>44720</v>
      </c>
      <c r="N10" t="s">
        <v>204</v>
      </c>
      <c r="O10" t="s">
        <v>208</v>
      </c>
      <c r="P10" t="s">
        <v>209</v>
      </c>
      <c r="Q10" t="s">
        <v>211</v>
      </c>
      <c r="R10" t="s">
        <v>212</v>
      </c>
      <c r="S10" t="s">
        <v>353</v>
      </c>
      <c r="T10" t="s">
        <v>355</v>
      </c>
      <c r="U10" t="s">
        <v>356</v>
      </c>
      <c r="V10" s="9" t="s">
        <v>68</v>
      </c>
      <c r="W10">
        <v>3</v>
      </c>
      <c r="X10">
        <v>3</v>
      </c>
      <c r="Y10">
        <v>3</v>
      </c>
      <c r="Z10">
        <v>3</v>
      </c>
      <c r="AA10">
        <v>2</v>
      </c>
      <c r="AB10">
        <v>3</v>
      </c>
      <c r="AC10">
        <v>2</v>
      </c>
      <c r="AD10">
        <v>2</v>
      </c>
      <c r="AE10">
        <v>0</v>
      </c>
      <c r="AF10">
        <f>IF(COUNT(W10:AE10)=0,"",SUM(W10:AE10))</f>
        <v>21</v>
      </c>
      <c r="AG10" s="11" t="str">
        <f>IF(AF10="","",LOOKUP(AF10,{0,5,10,15,20},{"Mínimo","Leve","Moderado","Moderado-severo","Severo"}))</f>
        <v>Severo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0</v>
      </c>
      <c r="AN10">
        <f>IF(COUNT(AH10:AM10)=0,"",SUM(AH10:AM10))</f>
        <v>10</v>
      </c>
      <c r="AO10" t="str">
        <f>IF(AN10="","",IF(AH10=0,"Baja",LOOKUP(AN10,{0,5,9},{"Baja","Media","Alta"})))</f>
        <v>Alta</v>
      </c>
      <c r="AP10" s="2" t="str">
        <f>IF(AN10="","",IF(AH10=0,"Sin teléfono: la capacidad digital queda en Baja.",IF(LOOKUP(AN10-AM10,{0,5,9},{"Baja","Media","Alta"})&lt;&gt;AO10,"El apoyo de un familiar sube el nivel de "&amp;LOOKUP(AN10-AM10,{0,5,9},{"Baja","Media","Alta"})&amp;" a "&amp;AO10&amp;".",IF(AM10=1,"Tiene apoyo de un familiar con el celular.",""))))</f>
        <v/>
      </c>
      <c r="AQ10">
        <v>0</v>
      </c>
      <c r="AR10">
        <v>0</v>
      </c>
      <c r="AS10" t="s">
        <v>118</v>
      </c>
      <c r="AT10" t="str">
        <f>IF(AF10="","","P"&amp;TEXT((MATCH(AF10,{0,5,10,15,20},1)-1)*3+IF(AH10=0,1,MATCH(AN10,{0,5,9},1)),"00"))</f>
        <v>P15</v>
      </c>
      <c r="AU10" t="str">
        <f>IF(AS10=AT10,"OK","REVISAR")</f>
        <v>OK</v>
      </c>
      <c r="AV10" t="str">
        <f>IF(INDEX(Territorios!$J:$J,MATCH(N10,Territorios!$A:$A,0))=O10,"OK","REVISAR")</f>
        <v>OK</v>
      </c>
      <c r="AW10" t="str">
        <f>IF(INDEX(Territorios!$K:$K,MATCH(N10,Territorios!$A:$A,0))=P10,"OK","REVISAR")</f>
        <v>OK</v>
      </c>
      <c r="AX10" t="str">
        <f>IF(G10&gt;=18,"OK","REVISAR")</f>
        <v>OK</v>
      </c>
      <c r="AY10" t="str">
        <f>IF(COUNT(AH10:AM10)=0,"OK",IF(AJ10&gt;AH10,"REVISAR","OK"))</f>
        <v>OK</v>
      </c>
    </row>
    <row r="11" spans="1:51" x14ac:dyDescent="0.25">
      <c r="A11" t="s">
        <v>362</v>
      </c>
      <c r="B11" t="s">
        <v>480</v>
      </c>
      <c r="C11">
        <v>352</v>
      </c>
      <c r="D11" t="s">
        <v>359</v>
      </c>
      <c r="E11" s="2" t="s">
        <v>456</v>
      </c>
      <c r="F11" t="s">
        <v>481</v>
      </c>
      <c r="G11">
        <v>32</v>
      </c>
      <c r="H11" t="s">
        <v>458</v>
      </c>
      <c r="I11" t="s">
        <v>458</v>
      </c>
      <c r="J11" t="s">
        <v>459</v>
      </c>
      <c r="K11">
        <v>1</v>
      </c>
      <c r="L11" t="s">
        <v>215</v>
      </c>
      <c r="M11" s="29">
        <v>44728</v>
      </c>
      <c r="N11" t="s">
        <v>214</v>
      </c>
      <c r="O11" t="s">
        <v>218</v>
      </c>
      <c r="P11" t="s">
        <v>219</v>
      </c>
      <c r="Q11" t="s">
        <v>221</v>
      </c>
      <c r="R11" t="s">
        <v>222</v>
      </c>
      <c r="S11" t="s">
        <v>358</v>
      </c>
      <c r="T11" t="s">
        <v>360</v>
      </c>
      <c r="U11" t="s">
        <v>361</v>
      </c>
      <c r="V11" s="24" t="s">
        <v>99</v>
      </c>
      <c r="W11">
        <v>2</v>
      </c>
      <c r="X11">
        <v>2</v>
      </c>
      <c r="Y11">
        <v>3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0</v>
      </c>
      <c r="AF11">
        <f>IF(COUNT(W11:AE11)=0,"",SUM(W11:AE11))</f>
        <v>17</v>
      </c>
      <c r="AG11" s="10" t="str">
        <f>IF(AF11="","",LOOKUP(AF11,{0,5,10,15,20},{"Mínimo","Leve","Moderado","Moderado-severo","Severo"}))</f>
        <v>Moderado-severo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0</v>
      </c>
      <c r="AN11">
        <f>IF(COUNT(AH11:AM11)=0,"",SUM(AH11:AM11))</f>
        <v>4</v>
      </c>
      <c r="AO11" t="str">
        <f>IF(AN11="","",IF(AH11=0,"Baja",LOOKUP(AN11,{0,5,9},{"Baja","Media","Alta"})))</f>
        <v>Baja</v>
      </c>
      <c r="AP11" s="2" t="str">
        <f>IF(AN11="","",IF(AH11=0,"Sin teléfono: la capacidad digital queda en Baja.",IF(LOOKUP(AN11-AM11,{0,5,9},{"Baja","Media","Alta"})&lt;&gt;AO11,"El apoyo de un familiar sube el nivel de "&amp;LOOKUP(AN11-AM11,{0,5,9},{"Baja","Media","Alta"})&amp;" a "&amp;AO11&amp;".",IF(AM11=1,"Tiene apoyo de un familiar con el celular.",""))))</f>
        <v/>
      </c>
      <c r="AQ11">
        <v>0</v>
      </c>
      <c r="AR11">
        <v>0</v>
      </c>
      <c r="AS11" t="s">
        <v>93</v>
      </c>
      <c r="AT11" t="str">
        <f>IF(AF11="","","P"&amp;TEXT((MATCH(AF11,{0,5,10,15,20},1)-1)*3+IF(AH11=0,1,MATCH(AN11,{0,5,9},1)),"00"))</f>
        <v>P10</v>
      </c>
      <c r="AU11" t="str">
        <f>IF(AS11=AT11,"OK","REVISAR")</f>
        <v>OK</v>
      </c>
      <c r="AV11" t="str">
        <f>IF(INDEX(Territorios!$J:$J,MATCH(N11,Territorios!$A:$A,0))=O11,"OK","REVISAR")</f>
        <v>OK</v>
      </c>
      <c r="AW11" t="str">
        <f>IF(INDEX(Territorios!$K:$K,MATCH(N11,Territorios!$A:$A,0))=P11,"OK","REVISAR")</f>
        <v>OK</v>
      </c>
      <c r="AX11" t="str">
        <f>IF(G11&gt;=18,"OK","REVISAR")</f>
        <v>OK</v>
      </c>
      <c r="AY11" t="str">
        <f>IF(COUNT(AH11:AM11)=0,"OK",IF(AJ11&gt;AH11,"REVISAR","OK"))</f>
        <v>OK</v>
      </c>
    </row>
    <row r="12" spans="1:51" x14ac:dyDescent="0.25">
      <c r="A12" t="s">
        <v>367</v>
      </c>
      <c r="B12" t="s">
        <v>482</v>
      </c>
      <c r="C12">
        <v>182</v>
      </c>
      <c r="D12" t="s">
        <v>364</v>
      </c>
      <c r="E12" s="2" t="s">
        <v>483</v>
      </c>
      <c r="F12" t="s">
        <v>484</v>
      </c>
      <c r="G12">
        <v>29</v>
      </c>
      <c r="H12" t="s">
        <v>462</v>
      </c>
      <c r="I12" t="s">
        <v>462</v>
      </c>
      <c r="J12" t="s">
        <v>463</v>
      </c>
      <c r="K12">
        <v>2</v>
      </c>
      <c r="L12" t="s">
        <v>215</v>
      </c>
      <c r="M12" s="29">
        <v>44715</v>
      </c>
      <c r="N12" t="s">
        <v>214</v>
      </c>
      <c r="O12" t="s">
        <v>218</v>
      </c>
      <c r="P12" t="s">
        <v>219</v>
      </c>
      <c r="Q12" t="s">
        <v>221</v>
      </c>
      <c r="R12" t="s">
        <v>222</v>
      </c>
      <c r="S12" t="s">
        <v>363</v>
      </c>
      <c r="T12" t="s">
        <v>365</v>
      </c>
      <c r="U12" t="s">
        <v>366</v>
      </c>
      <c r="V12" s="31" t="s">
        <v>114</v>
      </c>
      <c r="W12">
        <v>3</v>
      </c>
      <c r="X12">
        <v>3</v>
      </c>
      <c r="Y12">
        <v>2</v>
      </c>
      <c r="Z12">
        <v>3</v>
      </c>
      <c r="AA12">
        <v>3</v>
      </c>
      <c r="AB12">
        <v>3</v>
      </c>
      <c r="AC12">
        <v>3</v>
      </c>
      <c r="AD12">
        <v>3</v>
      </c>
      <c r="AE12">
        <v>0</v>
      </c>
      <c r="AF12">
        <f>IF(COUNT(W12:AE12)=0,"",SUM(W12:AE12))</f>
        <v>23</v>
      </c>
      <c r="AG12" s="11" t="str">
        <f>IF(AF12="","",LOOKUP(AF12,{0,5,10,15,20},{"Mínimo","Leve","Moderado","Moderado-severo","Severo"}))</f>
        <v>Severo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f>IF(COUNT(AH12:AM12)=0,"",SUM(AH12:AM12))</f>
        <v>6</v>
      </c>
      <c r="AO12" t="str">
        <f>IF(AN12="","",IF(AH12=0,"Baja",LOOKUP(AN12,{0,5,9},{"Baja","Media","Alta"})))</f>
        <v>Media</v>
      </c>
      <c r="AP12" s="2" t="str">
        <f>IF(AN12="","",IF(AH12=0,"Sin teléfono: la capacidad digital queda en Baja.",IF(LOOKUP(AN12-AM12,{0,5,9},{"Baja","Media","Alta"})&lt;&gt;AO12,"El apoyo de un familiar sube el nivel de "&amp;LOOKUP(AN12-AM12,{0,5,9},{"Baja","Media","Alta"})&amp;" a "&amp;AO12&amp;".",IF(AM12=1,"Tiene apoyo de un familiar con el celular.",""))))</f>
        <v>Tiene apoyo de un familiar con el celular.</v>
      </c>
      <c r="AQ12">
        <v>0</v>
      </c>
      <c r="AR12">
        <v>0</v>
      </c>
      <c r="AS12" t="s">
        <v>115</v>
      </c>
      <c r="AT12" t="str">
        <f>IF(AF12="","","P"&amp;TEXT((MATCH(AF12,{0,5,10,15,20},1)-1)*3+IF(AH12=0,1,MATCH(AN12,{0,5,9},1)),"00"))</f>
        <v>P14</v>
      </c>
      <c r="AU12" t="str">
        <f>IF(AS12=AT12,"OK","REVISAR")</f>
        <v>OK</v>
      </c>
      <c r="AV12" t="str">
        <f>IF(INDEX(Territorios!$J:$J,MATCH(N12,Territorios!$A:$A,0))=O12,"OK","REVISAR")</f>
        <v>OK</v>
      </c>
      <c r="AW12" t="str">
        <f>IF(INDEX(Territorios!$K:$K,MATCH(N12,Territorios!$A:$A,0))=P12,"OK","REVISAR")</f>
        <v>OK</v>
      </c>
      <c r="AX12" t="str">
        <f>IF(G12&gt;=18,"OK","REVISAR")</f>
        <v>OK</v>
      </c>
      <c r="AY12" t="str">
        <f>IF(COUNT(AH12:AM12)=0,"OK",IF(AJ12&gt;AH12,"REVISAR","OK"))</f>
        <v>OK</v>
      </c>
    </row>
    <row r="13" spans="1:51" x14ac:dyDescent="0.25">
      <c r="A13" t="s">
        <v>372</v>
      </c>
      <c r="B13" t="s">
        <v>485</v>
      </c>
      <c r="C13">
        <v>204</v>
      </c>
      <c r="D13" t="s">
        <v>369</v>
      </c>
      <c r="E13" s="2" t="s">
        <v>456</v>
      </c>
      <c r="F13" t="s">
        <v>486</v>
      </c>
      <c r="G13">
        <v>19</v>
      </c>
      <c r="H13" t="s">
        <v>458</v>
      </c>
      <c r="I13" t="s">
        <v>458</v>
      </c>
      <c r="J13" t="s">
        <v>463</v>
      </c>
      <c r="K13">
        <v>1</v>
      </c>
      <c r="L13" t="s">
        <v>215</v>
      </c>
      <c r="M13" s="29">
        <v>44718</v>
      </c>
      <c r="N13" t="s">
        <v>214</v>
      </c>
      <c r="O13" t="s">
        <v>218</v>
      </c>
      <c r="P13" t="s">
        <v>219</v>
      </c>
      <c r="Q13" t="s">
        <v>221</v>
      </c>
      <c r="R13" t="s">
        <v>222</v>
      </c>
      <c r="S13" t="s">
        <v>368</v>
      </c>
      <c r="T13" t="s">
        <v>370</v>
      </c>
      <c r="U13" t="s">
        <v>371</v>
      </c>
      <c r="V13" s="9" t="s">
        <v>68</v>
      </c>
      <c r="W13">
        <v>0</v>
      </c>
      <c r="X13">
        <v>0</v>
      </c>
      <c r="Y13">
        <v>2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f>IF(COUNT(W13:AE13)=0,"",SUM(W13:AE13))</f>
        <v>4</v>
      </c>
      <c r="AG13" s="7" t="str">
        <f>IF(AF13="","",LOOKUP(AF13,{0,5,10,15,20},{"Mínimo","Leve","Moderado","Moderado-severo","Severo"}))</f>
        <v>Mínimo</v>
      </c>
      <c r="AH13">
        <v>2</v>
      </c>
      <c r="AI13">
        <v>2</v>
      </c>
      <c r="AJ13">
        <v>2</v>
      </c>
      <c r="AK13">
        <v>2</v>
      </c>
      <c r="AL13">
        <v>2</v>
      </c>
      <c r="AM13">
        <v>1</v>
      </c>
      <c r="AN13">
        <f>IF(COUNT(AH13:AM13)=0,"",SUM(AH13:AM13))</f>
        <v>11</v>
      </c>
      <c r="AO13" t="str">
        <f>IF(AN13="","",IF(AH13=0,"Baja",LOOKUP(AN13,{0,5,9},{"Baja","Media","Alta"})))</f>
        <v>Alta</v>
      </c>
      <c r="AP13" s="2" t="str">
        <f>IF(AN13="","",IF(AH13=0,"Sin teléfono: la capacidad digital queda en Baja.",IF(LOOKUP(AN13-AM13,{0,5,9},{"Baja","Media","Alta"})&lt;&gt;AO13,"El apoyo de un familiar sube el nivel de "&amp;LOOKUP(AN13-AM13,{0,5,9},{"Baja","Media","Alta"})&amp;" a "&amp;AO13&amp;".",IF(AM13=1,"Tiene apoyo de un familiar con el celular.",""))))</f>
        <v>Tiene apoyo de un familiar con el celular.</v>
      </c>
      <c r="AQ13">
        <v>0</v>
      </c>
      <c r="AR13">
        <v>0</v>
      </c>
      <c r="AS13" t="s">
        <v>61</v>
      </c>
      <c r="AT13" t="str">
        <f>IF(AF13="","","P"&amp;TEXT((MATCH(AF13,{0,5,10,15,20},1)-1)*3+IF(AH13=0,1,MATCH(AN13,{0,5,9},1)),"00"))</f>
        <v>P03</v>
      </c>
      <c r="AU13" t="str">
        <f>IF(AS13=AT13,"OK","REVISAR")</f>
        <v>OK</v>
      </c>
      <c r="AV13" t="str">
        <f>IF(INDEX(Territorios!$J:$J,MATCH(N13,Territorios!$A:$A,0))=O13,"OK","REVISAR")</f>
        <v>OK</v>
      </c>
      <c r="AW13" t="str">
        <f>IF(INDEX(Territorios!$K:$K,MATCH(N13,Territorios!$A:$A,0))=P13,"OK","REVISAR")</f>
        <v>OK</v>
      </c>
      <c r="AX13" t="str">
        <f>IF(G13&gt;=18,"OK","REVISAR")</f>
        <v>OK</v>
      </c>
      <c r="AY13" t="str">
        <f>IF(COUNT(AH13:AM13)=0,"OK",IF(AJ13&gt;AH13,"REVISAR","OK"))</f>
        <v>OK</v>
      </c>
    </row>
    <row r="14" spans="1:51" x14ac:dyDescent="0.25">
      <c r="A14" t="s">
        <v>377</v>
      </c>
      <c r="B14" t="s">
        <v>487</v>
      </c>
      <c r="C14">
        <v>124</v>
      </c>
      <c r="D14" t="s">
        <v>374</v>
      </c>
      <c r="E14" s="2" t="s">
        <v>472</v>
      </c>
      <c r="F14" t="s">
        <v>488</v>
      </c>
      <c r="G14">
        <v>40</v>
      </c>
      <c r="H14" t="s">
        <v>462</v>
      </c>
      <c r="I14" t="s">
        <v>462</v>
      </c>
      <c r="J14" t="s">
        <v>474</v>
      </c>
      <c r="K14">
        <v>1</v>
      </c>
      <c r="L14" t="s">
        <v>225</v>
      </c>
      <c r="M14" s="29">
        <v>44706</v>
      </c>
      <c r="N14" t="s">
        <v>224</v>
      </c>
      <c r="O14" t="s">
        <v>228</v>
      </c>
      <c r="P14" t="s">
        <v>229</v>
      </c>
      <c r="Q14" t="s">
        <v>231</v>
      </c>
      <c r="R14" t="s">
        <v>232</v>
      </c>
      <c r="S14" t="s">
        <v>373</v>
      </c>
      <c r="T14" t="s">
        <v>375</v>
      </c>
      <c r="U14" t="s">
        <v>376</v>
      </c>
      <c r="V14" s="31" t="s">
        <v>114</v>
      </c>
      <c r="W14">
        <v>3</v>
      </c>
      <c r="X14">
        <v>3</v>
      </c>
      <c r="Y14">
        <v>3</v>
      </c>
      <c r="Z14">
        <v>3</v>
      </c>
      <c r="AA14">
        <v>2</v>
      </c>
      <c r="AB14">
        <v>3</v>
      </c>
      <c r="AC14">
        <v>2</v>
      </c>
      <c r="AD14">
        <v>2</v>
      </c>
      <c r="AE14" s="32">
        <v>1</v>
      </c>
      <c r="AF14">
        <f>IF(COUNT(W14:AE14)=0,"",SUM(W14:AE14))</f>
        <v>22</v>
      </c>
      <c r="AG14" s="11" t="str">
        <f>IF(AF14="","",LOOKUP(AF14,{0,5,10,15,20},{"Mínimo","Leve","Moderado","Moderado-severo","Severo"}))</f>
        <v>Severo</v>
      </c>
      <c r="AH14">
        <v>1</v>
      </c>
      <c r="AI14">
        <v>1</v>
      </c>
      <c r="AJ14">
        <v>0</v>
      </c>
      <c r="AK14">
        <v>0</v>
      </c>
      <c r="AL14">
        <v>0</v>
      </c>
      <c r="AM14">
        <v>1</v>
      </c>
      <c r="AN14">
        <f>IF(COUNT(AH14:AM14)=0,"",SUM(AH14:AM14))</f>
        <v>3</v>
      </c>
      <c r="AO14" t="str">
        <f>IF(AN14="","",IF(AH14=0,"Baja",LOOKUP(AN14,{0,5,9},{"Baja","Media","Alta"})))</f>
        <v>Baja</v>
      </c>
      <c r="AP14" s="2" t="str">
        <f>IF(AN14="","",IF(AH14=0,"Sin teléfono: la capacidad digital queda en Baja.",IF(LOOKUP(AN14-AM14,{0,5,9},{"Baja","Media","Alta"})&lt;&gt;AO14,"El apoyo de un familiar sube el nivel de "&amp;LOOKUP(AN14-AM14,{0,5,9},{"Baja","Media","Alta"})&amp;" a "&amp;AO14&amp;".",IF(AM14=1,"Tiene apoyo de un familiar con el celular.",""))))</f>
        <v>Tiene apoyo de un familiar con el celular.</v>
      </c>
      <c r="AQ14">
        <v>0</v>
      </c>
      <c r="AR14">
        <v>0</v>
      </c>
      <c r="AS14" t="s">
        <v>109</v>
      </c>
      <c r="AT14" t="str">
        <f>IF(AF14="","","P"&amp;TEXT((MATCH(AF14,{0,5,10,15,20},1)-1)*3+IF(AH14=0,1,MATCH(AN14,{0,5,9},1)),"00"))</f>
        <v>P13</v>
      </c>
      <c r="AU14" t="str">
        <f>IF(AS14=AT14,"OK","REVISAR")</f>
        <v>OK</v>
      </c>
      <c r="AV14" t="str">
        <f>IF(INDEX(Territorios!$J:$J,MATCH(N14,Territorios!$A:$A,0))=O14,"OK","REVISAR")</f>
        <v>OK</v>
      </c>
      <c r="AW14" t="str">
        <f>IF(INDEX(Territorios!$K:$K,MATCH(N14,Territorios!$A:$A,0))=P14,"OK","REVISAR")</f>
        <v>OK</v>
      </c>
      <c r="AX14" t="str">
        <f>IF(G14&gt;=18,"OK","REVISAR")</f>
        <v>OK</v>
      </c>
      <c r="AY14" t="str">
        <f>IF(COUNT(AH14:AM14)=0,"OK",IF(AJ14&gt;AH14,"REVISAR","OK"))</f>
        <v>OK</v>
      </c>
    </row>
    <row r="15" spans="1:51" x14ac:dyDescent="0.25">
      <c r="A15" t="s">
        <v>382</v>
      </c>
      <c r="B15" t="s">
        <v>489</v>
      </c>
      <c r="C15">
        <v>351</v>
      </c>
      <c r="D15" t="s">
        <v>379</v>
      </c>
      <c r="E15" s="2" t="s">
        <v>483</v>
      </c>
      <c r="F15" t="s">
        <v>379</v>
      </c>
      <c r="G15">
        <v>20</v>
      </c>
      <c r="H15" t="s">
        <v>458</v>
      </c>
      <c r="I15" t="s">
        <v>458</v>
      </c>
      <c r="J15" t="s">
        <v>459</v>
      </c>
      <c r="K15">
        <v>1</v>
      </c>
      <c r="L15" t="s">
        <v>225</v>
      </c>
      <c r="M15" s="29">
        <v>44728</v>
      </c>
      <c r="N15" t="s">
        <v>224</v>
      </c>
      <c r="O15" t="s">
        <v>228</v>
      </c>
      <c r="P15" t="s">
        <v>229</v>
      </c>
      <c r="Q15" t="s">
        <v>231</v>
      </c>
      <c r="R15" t="s">
        <v>232</v>
      </c>
      <c r="S15" t="s">
        <v>378</v>
      </c>
      <c r="T15" t="s">
        <v>380</v>
      </c>
      <c r="U15" t="s">
        <v>381</v>
      </c>
      <c r="V15" s="25" t="s">
        <v>60</v>
      </c>
      <c r="W15">
        <v>0</v>
      </c>
      <c r="X15">
        <v>0</v>
      </c>
      <c r="Y15">
        <v>1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f>IF(COUNT(W15:AE15)=0,"",SUM(W15:AE15))</f>
        <v>2</v>
      </c>
      <c r="AG15" s="7" t="str">
        <f>IF(AF15="","",LOOKUP(AF15,{0,5,10,15,20},{"Mínimo","Leve","Moderado","Moderado-severo","Severo"}))</f>
        <v>Mínimo</v>
      </c>
      <c r="AH15">
        <v>2</v>
      </c>
      <c r="AI15">
        <v>1</v>
      </c>
      <c r="AJ15">
        <v>1</v>
      </c>
      <c r="AK15">
        <v>1</v>
      </c>
      <c r="AL15">
        <v>1</v>
      </c>
      <c r="AM15">
        <v>0</v>
      </c>
      <c r="AN15">
        <f>IF(COUNT(AH15:AM15)=0,"",SUM(AH15:AM15))</f>
        <v>6</v>
      </c>
      <c r="AO15" t="str">
        <f>IF(AN15="","",IF(AH15=0,"Baja",LOOKUP(AN15,{0,5,9},{"Baja","Media","Alta"})))</f>
        <v>Media</v>
      </c>
      <c r="AP15" s="2" t="str">
        <f>IF(AN15="","",IF(AH15=0,"Sin teléfono: la capacidad digital queda en Baja.",IF(LOOKUP(AN15-AM15,{0,5,9},{"Baja","Media","Alta"})&lt;&gt;AO15,"El apoyo de un familiar sube el nivel de "&amp;LOOKUP(AN15-AM15,{0,5,9},{"Baja","Media","Alta"})&amp;" a "&amp;AO15&amp;".",IF(AM15=1,"Tiene apoyo de un familiar con el celular.",""))))</f>
        <v/>
      </c>
      <c r="AQ15">
        <v>0</v>
      </c>
      <c r="AR15">
        <v>0</v>
      </c>
      <c r="AS15" t="s">
        <v>53</v>
      </c>
      <c r="AT15" t="str">
        <f>IF(AF15="","","P"&amp;TEXT((MATCH(AF15,{0,5,10,15,20},1)-1)*3+IF(AH15=0,1,MATCH(AN15,{0,5,9},1)),"00"))</f>
        <v>P02</v>
      </c>
      <c r="AU15" t="str">
        <f>IF(AS15=AT15,"OK","REVISAR")</f>
        <v>OK</v>
      </c>
      <c r="AV15" t="str">
        <f>IF(INDEX(Territorios!$J:$J,MATCH(N15,Territorios!$A:$A,0))=O15,"OK","REVISAR")</f>
        <v>OK</v>
      </c>
      <c r="AW15" t="str">
        <f>IF(INDEX(Territorios!$K:$K,MATCH(N15,Territorios!$A:$A,0))=P15,"OK","REVISAR")</f>
        <v>OK</v>
      </c>
      <c r="AX15" t="str">
        <f>IF(G15&gt;=18,"OK","REVISAR")</f>
        <v>OK</v>
      </c>
      <c r="AY15" t="str">
        <f>IF(COUNT(AH15:AM15)=0,"OK",IF(AJ15&gt;AH15,"REVISAR","OK"))</f>
        <v>OK</v>
      </c>
    </row>
    <row r="16" spans="1:51" x14ac:dyDescent="0.25">
      <c r="A16" t="s">
        <v>387</v>
      </c>
      <c r="B16" t="s">
        <v>490</v>
      </c>
      <c r="C16">
        <v>300</v>
      </c>
      <c r="D16" t="s">
        <v>384</v>
      </c>
      <c r="E16" s="2" t="s">
        <v>483</v>
      </c>
      <c r="F16" t="s">
        <v>384</v>
      </c>
      <c r="G16">
        <v>24</v>
      </c>
      <c r="H16" t="s">
        <v>458</v>
      </c>
      <c r="I16" t="s">
        <v>458</v>
      </c>
      <c r="J16" t="s">
        <v>463</v>
      </c>
      <c r="K16">
        <v>1</v>
      </c>
      <c r="L16" t="s">
        <v>225</v>
      </c>
      <c r="M16" s="29">
        <v>44723</v>
      </c>
      <c r="N16" t="s">
        <v>224</v>
      </c>
      <c r="O16" t="s">
        <v>228</v>
      </c>
      <c r="P16" t="s">
        <v>229</v>
      </c>
      <c r="Q16" t="s">
        <v>231</v>
      </c>
      <c r="R16" t="s">
        <v>232</v>
      </c>
      <c r="S16" t="s">
        <v>383</v>
      </c>
      <c r="T16" t="s">
        <v>385</v>
      </c>
      <c r="U16" t="s">
        <v>386</v>
      </c>
      <c r="V16" s="9" t="s">
        <v>68</v>
      </c>
      <c r="W16">
        <v>1</v>
      </c>
      <c r="X16">
        <v>1</v>
      </c>
      <c r="Y16">
        <v>1</v>
      </c>
      <c r="Z16">
        <v>2</v>
      </c>
      <c r="AA16">
        <v>0</v>
      </c>
      <c r="AB16">
        <v>0</v>
      </c>
      <c r="AC16">
        <v>1</v>
      </c>
      <c r="AD16">
        <v>0</v>
      </c>
      <c r="AE16">
        <v>0</v>
      </c>
      <c r="AF16">
        <f>IF(COUNT(W16:AE16)=0,"",SUM(W16:AE16))</f>
        <v>6</v>
      </c>
      <c r="AG16" s="8" t="str">
        <f>IF(AF16="","",LOOKUP(AF16,{0,5,10,15,20},{"Mínimo","Leve","Moderado","Moderado-severo","Severo"}))</f>
        <v>Leve</v>
      </c>
      <c r="AH16">
        <v>2</v>
      </c>
      <c r="AI16">
        <v>2</v>
      </c>
      <c r="AJ16">
        <v>2</v>
      </c>
      <c r="AK16">
        <v>2</v>
      </c>
      <c r="AL16">
        <v>1</v>
      </c>
      <c r="AM16">
        <v>0</v>
      </c>
      <c r="AN16">
        <f>IF(COUNT(AH16:AM16)=0,"",SUM(AH16:AM16))</f>
        <v>9</v>
      </c>
      <c r="AO16" t="str">
        <f>IF(AN16="","",IF(AH16=0,"Baja",LOOKUP(AN16,{0,5,9},{"Baja","Media","Alta"})))</f>
        <v>Alta</v>
      </c>
      <c r="AP16" s="2" t="str">
        <f>IF(AN16="","",IF(AH16=0,"Sin teléfono: la capacidad digital queda en Baja.",IF(LOOKUP(AN16-AM16,{0,5,9},{"Baja","Media","Alta"})&lt;&gt;AO16,"El apoyo de un familiar sube el nivel de "&amp;LOOKUP(AN16-AM16,{0,5,9},{"Baja","Media","Alta"})&amp;" a "&amp;AO16&amp;".",IF(AM16=1,"Tiene apoyo de un familiar con el celular.",""))))</f>
        <v/>
      </c>
      <c r="AQ16">
        <v>0</v>
      </c>
      <c r="AR16">
        <v>0</v>
      </c>
      <c r="AS16" t="s">
        <v>77</v>
      </c>
      <c r="AT16" t="str">
        <f>IF(AF16="","","P"&amp;TEXT((MATCH(AF16,{0,5,10,15,20},1)-1)*3+IF(AH16=0,1,MATCH(AN16,{0,5,9},1)),"00"))</f>
        <v>P06</v>
      </c>
      <c r="AU16" t="str">
        <f>IF(AS16=AT16,"OK","REVISAR")</f>
        <v>OK</v>
      </c>
      <c r="AV16" t="str">
        <f>IF(INDEX(Territorios!$J:$J,MATCH(N16,Territorios!$A:$A,0))=O16,"OK","REVISAR")</f>
        <v>OK</v>
      </c>
      <c r="AW16" t="str">
        <f>IF(INDEX(Territorios!$K:$K,MATCH(N16,Territorios!$A:$A,0))=P16,"OK","REVISAR")</f>
        <v>OK</v>
      </c>
      <c r="AX16" t="str">
        <f>IF(G16&gt;=18,"OK","REVISAR")</f>
        <v>OK</v>
      </c>
      <c r="AY16" t="str">
        <f>IF(COUNT(AH16:AM16)=0,"OK",IF(AJ16&gt;AH16,"REVISAR","OK"))</f>
        <v>OK</v>
      </c>
    </row>
    <row r="17" spans="1:51" x14ac:dyDescent="0.25">
      <c r="A17" t="s">
        <v>392</v>
      </c>
      <c r="B17" t="s">
        <v>491</v>
      </c>
      <c r="C17">
        <v>327</v>
      </c>
      <c r="D17" t="s">
        <v>389</v>
      </c>
      <c r="E17" s="2" t="s">
        <v>456</v>
      </c>
      <c r="F17" t="s">
        <v>492</v>
      </c>
      <c r="G17">
        <v>32</v>
      </c>
      <c r="H17" t="s">
        <v>458</v>
      </c>
      <c r="I17" t="s">
        <v>458</v>
      </c>
      <c r="J17" t="s">
        <v>463</v>
      </c>
      <c r="K17">
        <v>2</v>
      </c>
      <c r="L17" t="s">
        <v>184</v>
      </c>
      <c r="M17" s="29">
        <v>44725</v>
      </c>
      <c r="N17" t="s">
        <v>183</v>
      </c>
      <c r="O17" t="s">
        <v>189</v>
      </c>
      <c r="P17" t="s">
        <v>190</v>
      </c>
      <c r="Q17" t="s">
        <v>192</v>
      </c>
      <c r="R17" t="s">
        <v>193</v>
      </c>
      <c r="S17" t="s">
        <v>388</v>
      </c>
      <c r="T17" t="s">
        <v>390</v>
      </c>
      <c r="U17" t="s">
        <v>391</v>
      </c>
      <c r="V17" s="33" t="s">
        <v>493</v>
      </c>
      <c r="AF17" t="str">
        <f>IF(COUNT(W17:AE17)=0,"",SUM(W17:AE17))</f>
        <v/>
      </c>
      <c r="AG17" t="str">
        <f>IF(AF17="","",LOOKUP(AF17,{0,5,10,15,20},{"Mínimo","Leve","Moderado","Moderado-severo","Severo"}))</f>
        <v/>
      </c>
      <c r="AN17" t="str">
        <f>IF(COUNT(AH17:AM17)=0,"",SUM(AH17:AM17))</f>
        <v/>
      </c>
      <c r="AO17" t="str">
        <f>IF(AN17="","",IF(AH17=0,"Baja",LOOKUP(AN17,{0,5,9},{"Baja","Media","Alta"})))</f>
        <v/>
      </c>
      <c r="AP17" s="2" t="str">
        <f>IF(AN17="","",IF(AH17=0,"Sin teléfono: la capacidad digital queda en Baja.",IF(LOOKUP(AN17-AM17,{0,5,9},{"Baja","Media","Alta"})&lt;&gt;AO17,"El apoyo de un familiar sube el nivel de "&amp;LOOKUP(AN17-AM17,{0,5,9},{"Baja","Media","Alta"})&amp;" a "&amp;AO17&amp;".",IF(AM17=1,"Tiene apoyo de un familiar con el celular.",""))))</f>
        <v/>
      </c>
      <c r="AQ17" t="s">
        <v>3</v>
      </c>
      <c r="AR17" t="s">
        <v>3</v>
      </c>
      <c r="AS17" t="s">
        <v>3</v>
      </c>
      <c r="AT17" t="str">
        <f>IF(AF17="","","P"&amp;TEXT((MATCH(AF17,{0,5,10,15,20},1)-1)*3+IF(AH17=0,1,MATCH(AN17,{0,5,9},1)),"00"))</f>
        <v/>
      </c>
      <c r="AU17" t="str">
        <f>IF(AS17=AT17,"OK","REVISAR")</f>
        <v>OK</v>
      </c>
      <c r="AV17" t="str">
        <f>IF(INDEX(Territorios!$J:$J,MATCH(N17,Territorios!$A:$A,0))=O17,"OK","REVISAR")</f>
        <v>OK</v>
      </c>
      <c r="AW17" t="str">
        <f>IF(INDEX(Territorios!$K:$K,MATCH(N17,Territorios!$A:$A,0))=P17,"OK","REVISAR")</f>
        <v>OK</v>
      </c>
      <c r="AX17" t="str">
        <f>IF(G17&gt;=18,"OK","REVISAR")</f>
        <v>OK</v>
      </c>
      <c r="AY17" t="str">
        <f>IF(COUNT(AH17:AM17)=0,"OK",IF(AJ17&gt;AH17,"REVISAR","OK"))</f>
        <v>OK</v>
      </c>
    </row>
    <row r="18" spans="1:51" x14ac:dyDescent="0.25">
      <c r="A18" t="s">
        <v>397</v>
      </c>
      <c r="B18" t="s">
        <v>494</v>
      </c>
      <c r="C18">
        <v>433</v>
      </c>
      <c r="D18" t="s">
        <v>394</v>
      </c>
      <c r="E18" s="2" t="s">
        <v>483</v>
      </c>
      <c r="F18" t="s">
        <v>394</v>
      </c>
      <c r="G18">
        <v>32</v>
      </c>
      <c r="H18" t="s">
        <v>458</v>
      </c>
      <c r="I18" t="s">
        <v>458</v>
      </c>
      <c r="J18" t="s">
        <v>466</v>
      </c>
      <c r="K18">
        <v>3</v>
      </c>
      <c r="L18" t="s">
        <v>196</v>
      </c>
      <c r="M18" s="29">
        <v>44735</v>
      </c>
      <c r="N18" t="s">
        <v>195</v>
      </c>
      <c r="O18" t="s">
        <v>198</v>
      </c>
      <c r="P18" t="s">
        <v>199</v>
      </c>
      <c r="Q18" t="s">
        <v>201</v>
      </c>
      <c r="R18" t="s">
        <v>202</v>
      </c>
      <c r="S18" t="s">
        <v>393</v>
      </c>
      <c r="T18" t="s">
        <v>395</v>
      </c>
      <c r="U18" t="s">
        <v>396</v>
      </c>
      <c r="V18" s="33" t="s">
        <v>493</v>
      </c>
      <c r="AF18" t="str">
        <f>IF(COUNT(W18:AE18)=0,"",SUM(W18:AE18))</f>
        <v/>
      </c>
      <c r="AG18" t="str">
        <f>IF(AF18="","",LOOKUP(AF18,{0,5,10,15,20},{"Mínimo","Leve","Moderado","Moderado-severo","Severo"}))</f>
        <v/>
      </c>
      <c r="AN18" t="str">
        <f>IF(COUNT(AH18:AM18)=0,"",SUM(AH18:AM18))</f>
        <v/>
      </c>
      <c r="AO18" t="str">
        <f>IF(AN18="","",IF(AH18=0,"Baja",LOOKUP(AN18,{0,5,9},{"Baja","Media","Alta"})))</f>
        <v/>
      </c>
      <c r="AP18" s="2" t="str">
        <f>IF(AN18="","",IF(AH18=0,"Sin teléfono: la capacidad digital queda en Baja.",IF(LOOKUP(AN18-AM18,{0,5,9},{"Baja","Media","Alta"})&lt;&gt;AO18,"El apoyo de un familiar sube el nivel de "&amp;LOOKUP(AN18-AM18,{0,5,9},{"Baja","Media","Alta"})&amp;" a "&amp;AO18&amp;".",IF(AM18=1,"Tiene apoyo de un familiar con el celular.",""))))</f>
        <v/>
      </c>
      <c r="AQ18" t="s">
        <v>3</v>
      </c>
      <c r="AR18" t="s">
        <v>3</v>
      </c>
      <c r="AS18" t="s">
        <v>3</v>
      </c>
      <c r="AT18" t="str">
        <f>IF(AF18="","","P"&amp;TEXT((MATCH(AF18,{0,5,10,15,20},1)-1)*3+IF(AH18=0,1,MATCH(AN18,{0,5,9},1)),"00"))</f>
        <v/>
      </c>
      <c r="AU18" t="str">
        <f>IF(AS18=AT18,"OK","REVISAR")</f>
        <v>OK</v>
      </c>
      <c r="AV18" t="str">
        <f>IF(INDEX(Territorios!$J:$J,MATCH(N18,Territorios!$A:$A,0))=O18,"OK","REVISAR")</f>
        <v>OK</v>
      </c>
      <c r="AW18" t="str">
        <f>IF(INDEX(Territorios!$K:$K,MATCH(N18,Territorios!$A:$A,0))=P18,"OK","REVISAR")</f>
        <v>OK</v>
      </c>
      <c r="AX18" t="str">
        <f>IF(G18&gt;=18,"OK","REVISAR")</f>
        <v>OK</v>
      </c>
      <c r="AY18" t="str">
        <f>IF(COUNT(AH18:AM18)=0,"OK",IF(AJ18&gt;AH18,"REVISAR","OK"))</f>
        <v>OK</v>
      </c>
    </row>
    <row r="19" spans="1:51" x14ac:dyDescent="0.25">
      <c r="A19" t="s">
        <v>402</v>
      </c>
      <c r="B19" t="s">
        <v>495</v>
      </c>
      <c r="C19">
        <v>207</v>
      </c>
      <c r="D19" t="s">
        <v>399</v>
      </c>
      <c r="E19" s="2" t="s">
        <v>472</v>
      </c>
      <c r="F19" t="s">
        <v>496</v>
      </c>
      <c r="G19">
        <v>18</v>
      </c>
      <c r="H19" t="s">
        <v>458</v>
      </c>
      <c r="I19" t="s">
        <v>458</v>
      </c>
      <c r="J19" t="s">
        <v>463</v>
      </c>
      <c r="K19">
        <v>4</v>
      </c>
      <c r="L19" t="s">
        <v>477</v>
      </c>
      <c r="M19" s="29">
        <v>44718</v>
      </c>
      <c r="N19" t="s">
        <v>204</v>
      </c>
      <c r="O19" t="s">
        <v>208</v>
      </c>
      <c r="P19" t="s">
        <v>209</v>
      </c>
      <c r="Q19" t="s">
        <v>211</v>
      </c>
      <c r="R19" t="s">
        <v>212</v>
      </c>
      <c r="S19" t="s">
        <v>398</v>
      </c>
      <c r="T19" t="s">
        <v>400</v>
      </c>
      <c r="U19" t="s">
        <v>401</v>
      </c>
      <c r="V19" s="33" t="s">
        <v>493</v>
      </c>
      <c r="AF19" t="str">
        <f>IF(COUNT(W19:AE19)=0,"",SUM(W19:AE19))</f>
        <v/>
      </c>
      <c r="AG19" t="str">
        <f>IF(AF19="","",LOOKUP(AF19,{0,5,10,15,20},{"Mínimo","Leve","Moderado","Moderado-severo","Severo"}))</f>
        <v/>
      </c>
      <c r="AN19" t="str">
        <f>IF(COUNT(AH19:AM19)=0,"",SUM(AH19:AM19))</f>
        <v/>
      </c>
      <c r="AO19" t="str">
        <f>IF(AN19="","",IF(AH19=0,"Baja",LOOKUP(AN19,{0,5,9},{"Baja","Media","Alta"})))</f>
        <v/>
      </c>
      <c r="AP19" s="2" t="str">
        <f>IF(AN19="","",IF(AH19=0,"Sin teléfono: la capacidad digital queda en Baja.",IF(LOOKUP(AN19-AM19,{0,5,9},{"Baja","Media","Alta"})&lt;&gt;AO19,"El apoyo de un familiar sube el nivel de "&amp;LOOKUP(AN19-AM19,{0,5,9},{"Baja","Media","Alta"})&amp;" a "&amp;AO19&amp;".",IF(AM19=1,"Tiene apoyo de un familiar con el celular.",""))))</f>
        <v/>
      </c>
      <c r="AQ19" t="s">
        <v>3</v>
      </c>
      <c r="AR19" t="s">
        <v>3</v>
      </c>
      <c r="AS19" t="s">
        <v>3</v>
      </c>
      <c r="AT19" t="str">
        <f>IF(AF19="","","P"&amp;TEXT((MATCH(AF19,{0,5,10,15,20},1)-1)*3+IF(AH19=0,1,MATCH(AN19,{0,5,9},1)),"00"))</f>
        <v/>
      </c>
      <c r="AU19" t="str">
        <f>IF(AS19=AT19,"OK","REVISAR")</f>
        <v>OK</v>
      </c>
      <c r="AV19" t="str">
        <f>IF(INDEX(Territorios!$J:$J,MATCH(N19,Territorios!$A:$A,0))=O19,"OK","REVISAR")</f>
        <v>OK</v>
      </c>
      <c r="AW19" t="str">
        <f>IF(INDEX(Territorios!$K:$K,MATCH(N19,Territorios!$A:$A,0))=P19,"OK","REVISAR")</f>
        <v>OK</v>
      </c>
      <c r="AX19" t="str">
        <f>IF(G19&gt;=18,"OK","REVISAR")</f>
        <v>OK</v>
      </c>
      <c r="AY19" t="str">
        <f>IF(COUNT(AH19:AM19)=0,"OK",IF(AJ19&gt;AH19,"REVISAR","OK"))</f>
        <v>OK</v>
      </c>
    </row>
    <row r="20" spans="1:51" x14ac:dyDescent="0.25">
      <c r="A20" t="s">
        <v>407</v>
      </c>
      <c r="B20" t="s">
        <v>497</v>
      </c>
      <c r="C20">
        <v>406</v>
      </c>
      <c r="D20" t="s">
        <v>404</v>
      </c>
      <c r="E20" s="2" t="s">
        <v>483</v>
      </c>
      <c r="F20" t="s">
        <v>404</v>
      </c>
      <c r="G20">
        <v>18</v>
      </c>
      <c r="H20" t="s">
        <v>462</v>
      </c>
      <c r="I20" t="s">
        <v>462</v>
      </c>
      <c r="J20" t="s">
        <v>463</v>
      </c>
      <c r="K20">
        <v>2</v>
      </c>
      <c r="L20" t="s">
        <v>215</v>
      </c>
      <c r="M20" s="29">
        <v>44734</v>
      </c>
      <c r="N20" t="s">
        <v>214</v>
      </c>
      <c r="O20" t="s">
        <v>218</v>
      </c>
      <c r="P20" t="s">
        <v>219</v>
      </c>
      <c r="Q20" t="s">
        <v>221</v>
      </c>
      <c r="R20" t="s">
        <v>222</v>
      </c>
      <c r="S20" t="s">
        <v>403</v>
      </c>
      <c r="T20" t="s">
        <v>405</v>
      </c>
      <c r="U20" t="s">
        <v>406</v>
      </c>
      <c r="V20" s="33" t="s">
        <v>493</v>
      </c>
      <c r="AF20" t="str">
        <f>IF(COUNT(W20:AE20)=0,"",SUM(W20:AE20))</f>
        <v/>
      </c>
      <c r="AG20" t="str">
        <f>IF(AF20="","",LOOKUP(AF20,{0,5,10,15,20},{"Mínimo","Leve","Moderado","Moderado-severo","Severo"}))</f>
        <v/>
      </c>
      <c r="AN20" t="str">
        <f>IF(COUNT(AH20:AM20)=0,"",SUM(AH20:AM20))</f>
        <v/>
      </c>
      <c r="AO20" t="str">
        <f>IF(AN20="","",IF(AH20=0,"Baja",LOOKUP(AN20,{0,5,9},{"Baja","Media","Alta"})))</f>
        <v/>
      </c>
      <c r="AP20" s="2" t="str">
        <f>IF(AN20="","",IF(AH20=0,"Sin teléfono: la capacidad digital queda en Baja.",IF(LOOKUP(AN20-AM20,{0,5,9},{"Baja","Media","Alta"})&lt;&gt;AO20,"El apoyo de un familiar sube el nivel de "&amp;LOOKUP(AN20-AM20,{0,5,9},{"Baja","Media","Alta"})&amp;" a "&amp;AO20&amp;".",IF(AM20=1,"Tiene apoyo de un familiar con el celular.",""))))</f>
        <v/>
      </c>
      <c r="AQ20" t="s">
        <v>3</v>
      </c>
      <c r="AR20" t="s">
        <v>3</v>
      </c>
      <c r="AS20" t="s">
        <v>3</v>
      </c>
      <c r="AT20" t="str">
        <f>IF(AF20="","","P"&amp;TEXT((MATCH(AF20,{0,5,10,15,20},1)-1)*3+IF(AH20=0,1,MATCH(AN20,{0,5,9},1)),"00"))</f>
        <v/>
      </c>
      <c r="AU20" t="str">
        <f>IF(AS20=AT20,"OK","REVISAR")</f>
        <v>OK</v>
      </c>
      <c r="AV20" t="str">
        <f>IF(INDEX(Territorios!$J:$J,MATCH(N20,Territorios!$A:$A,0))=O20,"OK","REVISAR")</f>
        <v>OK</v>
      </c>
      <c r="AW20" t="str">
        <f>IF(INDEX(Territorios!$K:$K,MATCH(N20,Territorios!$A:$A,0))=P20,"OK","REVISAR")</f>
        <v>OK</v>
      </c>
      <c r="AX20" t="str">
        <f>IF(G20&gt;=18,"OK","REVISAR")</f>
        <v>OK</v>
      </c>
      <c r="AY20" t="str">
        <f>IF(COUNT(AH20:AM20)=0,"OK",IF(AJ20&gt;AH20,"REVISAR","OK"))</f>
        <v>OK</v>
      </c>
    </row>
    <row r="21" spans="1:51" x14ac:dyDescent="0.25">
      <c r="A21" t="s">
        <v>412</v>
      </c>
      <c r="B21" t="s">
        <v>498</v>
      </c>
      <c r="C21">
        <v>187</v>
      </c>
      <c r="D21" t="s">
        <v>409</v>
      </c>
      <c r="E21" s="2" t="s">
        <v>472</v>
      </c>
      <c r="F21" t="s">
        <v>499</v>
      </c>
      <c r="G21">
        <v>28</v>
      </c>
      <c r="H21" t="s">
        <v>458</v>
      </c>
      <c r="I21" t="s">
        <v>458</v>
      </c>
      <c r="J21" t="s">
        <v>459</v>
      </c>
      <c r="K21">
        <v>2</v>
      </c>
      <c r="L21" t="s">
        <v>225</v>
      </c>
      <c r="M21" s="29">
        <v>44715</v>
      </c>
      <c r="N21" t="s">
        <v>224</v>
      </c>
      <c r="O21" t="s">
        <v>228</v>
      </c>
      <c r="P21" t="s">
        <v>229</v>
      </c>
      <c r="Q21" t="s">
        <v>231</v>
      </c>
      <c r="R21" t="s">
        <v>232</v>
      </c>
      <c r="S21" t="s">
        <v>408</v>
      </c>
      <c r="T21" t="s">
        <v>410</v>
      </c>
      <c r="U21" t="s">
        <v>411</v>
      </c>
      <c r="V21" s="33" t="s">
        <v>493</v>
      </c>
      <c r="AF21" t="str">
        <f>IF(COUNT(W21:AE21)=0,"",SUM(W21:AE21))</f>
        <v/>
      </c>
      <c r="AG21" t="str">
        <f>IF(AF21="","",LOOKUP(AF21,{0,5,10,15,20},{"Mínimo","Leve","Moderado","Moderado-severo","Severo"}))</f>
        <v/>
      </c>
      <c r="AN21" t="str">
        <f>IF(COUNT(AH21:AM21)=0,"",SUM(AH21:AM21))</f>
        <v/>
      </c>
      <c r="AO21" t="str">
        <f>IF(AN21="","",IF(AH21=0,"Baja",LOOKUP(AN21,{0,5,9},{"Baja","Media","Alta"})))</f>
        <v/>
      </c>
      <c r="AP21" s="2" t="str">
        <f>IF(AN21="","",IF(AH21=0,"Sin teléfono: la capacidad digital queda en Baja.",IF(LOOKUP(AN21-AM21,{0,5,9},{"Baja","Media","Alta"})&lt;&gt;AO21,"El apoyo de un familiar sube el nivel de "&amp;LOOKUP(AN21-AM21,{0,5,9},{"Baja","Media","Alta"})&amp;" a "&amp;AO21&amp;".",IF(AM21=1,"Tiene apoyo de un familiar con el celular.",""))))</f>
        <v/>
      </c>
      <c r="AQ21" t="s">
        <v>3</v>
      </c>
      <c r="AR21" t="s">
        <v>3</v>
      </c>
      <c r="AS21" t="s">
        <v>3</v>
      </c>
      <c r="AT21" t="str">
        <f>IF(AF21="","","P"&amp;TEXT((MATCH(AF21,{0,5,10,15,20},1)-1)*3+IF(AH21=0,1,MATCH(AN21,{0,5,9},1)),"00"))</f>
        <v/>
      </c>
      <c r="AU21" t="str">
        <f>IF(AS21=AT21,"OK","REVISAR")</f>
        <v>OK</v>
      </c>
      <c r="AV21" t="str">
        <f>IF(INDEX(Territorios!$J:$J,MATCH(N21,Territorios!$A:$A,0))=O21,"OK","REVISAR")</f>
        <v>OK</v>
      </c>
      <c r="AW21" t="str">
        <f>IF(INDEX(Territorios!$K:$K,MATCH(N21,Territorios!$A:$A,0))=P21,"OK","REVISAR")</f>
        <v>OK</v>
      </c>
      <c r="AX21" t="str">
        <f>IF(G21&gt;=18,"OK","REVISAR")</f>
        <v>OK</v>
      </c>
      <c r="AY21" t="str">
        <f>IF(COUNT(AH21:AM21)=0,"OK",IF(AJ21&gt;AH21,"REVISAR","OK"))</f>
        <v>OK</v>
      </c>
    </row>
  </sheetData>
  <autoFilter ref="A1:AY1"/>
  <conditionalFormatting sqref="AU2:AY21">
    <cfRule type="containsText" dxfId="0" priority="1">
      <formula>NOT(ISERROR(SEARCH("REVISAR",AU2)))</formula>
    </cfRule>
    <cfRule type="containsText" dxfId="1" priority="2">
      <formula>NOT(ISERROR(SEARCH("OK",AU2)))</formula>
    </cfRule>
  </conditionalFormatting>
  <dataValidations count="8">
    <dataValidation type="whole" allowBlank="1" showErrorMessage="1" error="Respuesta de 0 a 3" sqref="AA10:AE21">
      <formula1>0</formula1>
      <formula2>3</formula2>
    </dataValidation>
    <dataValidation type="whole" allowBlank="1" showErrorMessage="1" error="Respuesta de 0 a 3" sqref="AA2:AE21">
      <formula1>0</formula1>
      <formula2>3</formula2>
    </dataValidation>
    <dataValidation type="whole" allowBlank="1" showErrorMessage="1" error="Respuesta de 0 a 2" sqref="AH10:AL21">
      <formula1>0</formula1>
      <formula2>2</formula2>
    </dataValidation>
    <dataValidation type="whole" allowBlank="1" showErrorMessage="1" error="Respuesta de 0 a 2" sqref="AH2:AL21">
      <formula1>0</formula1>
      <formula2>2</formula2>
    </dataValidation>
    <dataValidation type="whole" allowBlank="1" showErrorMessage="1" error="0 No · 1 Sí" sqref="AM10:AM21">
      <formula1>0</formula1>
      <formula2>1</formula2>
    </dataValidation>
    <dataValidation type="whole" allowBlank="1" showErrorMessage="1" error="0 No · 1 Sí" sqref="AM2:AM21">
      <formula1>0</formula1>
      <formula2>1</formula2>
    </dataValidation>
    <dataValidation type="whole" allowBlank="1" showErrorMessage="1" error="Respuesta de 0 a 3" sqref="W10:AE21">
      <formula1>0</formula1>
      <formula2>3</formula2>
    </dataValidation>
    <dataValidation type="whole" allowBlank="1" showErrorMessage="1" error="Respuesta de 0 a 3" sqref="W2:AE21">
      <formula1>0</formula1>
      <formula2>3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8" customWidth="1"/>
    <col min="4" max="4" width="7" customWidth="1"/>
    <col min="5" max="5" width="13" customWidth="1"/>
    <col min="6" max="7" width="11" style="29" customWidth="1"/>
    <col min="8" max="8" width="10" customWidth="1"/>
    <col min="9" max="9" width="11" customWidth="1"/>
    <col min="10" max="10" width="11" style="29" customWidth="1"/>
    <col min="11" max="11" width="28" customWidth="1"/>
    <col min="12" max="12" width="34" style="2" customWidth="1"/>
    <col min="14" max="14" width="26" style="2" customWidth="1"/>
    <col min="15" max="15" width="15" style="34" customWidth="1"/>
    <col min="16" max="16" width="28" customWidth="1"/>
    <col min="17" max="17" width="11" customWidth="1"/>
    <col min="18" max="18" width="10" customWidth="1"/>
    <col min="21" max="21" width="70" style="2" customWidth="1"/>
    <col min="22" max="22" width="8" customWidth="1"/>
    <col min="23" max="23" width="7" customWidth="1"/>
    <col min="24" max="24" width="28" customWidth="1"/>
    <col min="25" max="25" width="8" customWidth="1"/>
    <col min="26" max="26" width="26" style="2" customWidth="1"/>
    <col min="27" max="27" width="22" customWidth="1"/>
    <col min="28" max="28" width="26" customWidth="1"/>
    <col min="29" max="29" width="11" style="29" customWidth="1"/>
    <col min="30" max="30" width="24" customWidth="1"/>
    <col min="32" max="32" width="11" customWidth="1"/>
    <col min="34" max="34" width="10" customWidth="1"/>
    <col min="35" max="35" width="44" style="2" customWidth="1"/>
    <col min="36" max="40" width="12" customWidth="1"/>
  </cols>
  <sheetData>
    <row r="1" ht="60" customHeight="1" spans="1:40" x14ac:dyDescent="0.25">
      <c r="A1" s="5" t="s">
        <v>413</v>
      </c>
      <c r="B1" s="5" t="s">
        <v>236</v>
      </c>
      <c r="C1" s="5" t="s">
        <v>169</v>
      </c>
      <c r="D1" s="5" t="s">
        <v>32</v>
      </c>
      <c r="E1" s="5" t="s">
        <v>43</v>
      </c>
      <c r="F1" s="30" t="s">
        <v>500</v>
      </c>
      <c r="G1" s="30" t="s">
        <v>501</v>
      </c>
      <c r="H1" s="5" t="s">
        <v>502</v>
      </c>
      <c r="I1" s="5" t="s">
        <v>503</v>
      </c>
      <c r="J1" s="30" t="s">
        <v>504</v>
      </c>
      <c r="K1" s="5" t="s">
        <v>505</v>
      </c>
      <c r="L1" s="6" t="s">
        <v>506</v>
      </c>
      <c r="M1" s="5" t="s">
        <v>507</v>
      </c>
      <c r="N1" s="6" t="s">
        <v>508</v>
      </c>
      <c r="O1" s="35" t="s">
        <v>509</v>
      </c>
      <c r="P1" s="5" t="s">
        <v>510</v>
      </c>
      <c r="Q1" s="5" t="s">
        <v>511</v>
      </c>
      <c r="R1" s="5" t="s">
        <v>512</v>
      </c>
      <c r="S1" s="5" t="s">
        <v>513</v>
      </c>
      <c r="T1" s="5" t="s">
        <v>514</v>
      </c>
      <c r="U1" s="6" t="s">
        <v>515</v>
      </c>
      <c r="V1" s="5" t="s">
        <v>38</v>
      </c>
      <c r="W1" s="5" t="s">
        <v>40</v>
      </c>
      <c r="X1" s="5" t="s">
        <v>516</v>
      </c>
      <c r="Y1" s="5" t="s">
        <v>517</v>
      </c>
      <c r="Z1" s="6" t="s">
        <v>518</v>
      </c>
      <c r="AA1" s="5" t="s">
        <v>519</v>
      </c>
      <c r="AB1" s="5" t="s">
        <v>520</v>
      </c>
      <c r="AC1" s="30" t="s">
        <v>521</v>
      </c>
      <c r="AD1" s="5" t="s">
        <v>522</v>
      </c>
      <c r="AE1" s="5" t="s">
        <v>523</v>
      </c>
      <c r="AF1" s="5" t="s">
        <v>524</v>
      </c>
      <c r="AG1" s="5" t="s">
        <v>525</v>
      </c>
      <c r="AH1" s="5" t="s">
        <v>526</v>
      </c>
      <c r="AI1" s="6" t="s">
        <v>527</v>
      </c>
      <c r="AJ1" s="5" t="s">
        <v>528</v>
      </c>
      <c r="AK1" s="5" t="s">
        <v>529</v>
      </c>
      <c r="AL1" s="5" t="s">
        <v>530</v>
      </c>
      <c r="AM1" s="5" t="s">
        <v>531</v>
      </c>
      <c r="AN1" s="5" t="s">
        <v>532</v>
      </c>
    </row>
    <row r="2" spans="1:40" x14ac:dyDescent="0.25">
      <c r="A2" t="s">
        <v>316</v>
      </c>
      <c r="B2" t="str">
        <f>INDEX(Pacientes!$D:$D,MATCH(A2,Pacientes!$A:$A,0))</f>
        <v>Darly Yasmin Solano</v>
      </c>
      <c r="C2" t="str">
        <f>INDEX(Pacientes!$N:$N,MATCH(A2,Pacientes!$A:$A,0))</f>
        <v>BUC</v>
      </c>
      <c r="D2" t="str">
        <f>INDEX(Pacientes!$AS:$AS,MATCH(A2,Pacientes!$A:$A,0))&amp;""</f>
        <v>P01</v>
      </c>
      <c r="E2" s="28" t="s">
        <v>52</v>
      </c>
      <c r="F2" s="29"/>
      <c r="G2" s="29">
        <v>46254</v>
      </c>
      <c r="H2">
        <v>34</v>
      </c>
      <c r="I2" t="s">
        <v>99</v>
      </c>
      <c r="J2" s="29">
        <v>46255</v>
      </c>
      <c r="K2" t="s">
        <v>190</v>
      </c>
      <c r="L2" s="2" t="s">
        <v>3</v>
      </c>
      <c r="M2" t="s">
        <v>3</v>
      </c>
      <c r="N2" s="2" t="s">
        <v>3</v>
      </c>
      <c r="O2" s="34"/>
      <c r="P2" t="s">
        <v>3</v>
      </c>
      <c r="Q2" t="s">
        <v>291</v>
      </c>
      <c r="R2" t="s">
        <v>291</v>
      </c>
      <c r="S2" t="s">
        <v>533</v>
      </c>
      <c r="T2" t="s">
        <v>286</v>
      </c>
      <c r="U2" s="2" t="s">
        <v>49</v>
      </c>
      <c r="V2">
        <v>5</v>
      </c>
      <c r="W2">
        <v>3</v>
      </c>
      <c r="X2" t="s">
        <v>534</v>
      </c>
      <c r="Y2">
        <v>4</v>
      </c>
      <c r="Z2" s="2" t="s">
        <v>535</v>
      </c>
      <c r="AA2" t="s">
        <v>536</v>
      </c>
      <c r="AB2" t="s">
        <v>537</v>
      </c>
      <c r="AC2" s="29">
        <v>46268</v>
      </c>
      <c r="AD2" t="s">
        <v>538</v>
      </c>
      <c r="AE2">
        <f>IF(AC2="","",DATE(2026,10,8)-AC2)</f>
        <v>35</v>
      </c>
      <c r="AF2" t="str">
        <f>IF(AE2="","",IF(AE2&gt;=14,"Sí","No"))</f>
        <v>Sí</v>
      </c>
      <c r="AG2">
        <v>18</v>
      </c>
      <c r="AH2" t="s">
        <v>291</v>
      </c>
      <c r="AI2" s="2" t="s">
        <v>539</v>
      </c>
      <c r="AJ2" t="str">
        <f>IF(AND(N(INDEX(Pacientes!$AE:$AE,MATCH(A2,Pacientes!$A:$A,0)))&gt;0,E2&lt;&gt;"Crisis"),"REVISAR","OK")</f>
        <v>OK</v>
      </c>
      <c r="AK2" t="str">
        <f>IF(AND(ISNUMBER(SEARCH("Manilla",U2)),S2&lt;&gt;"Sí",LEFT(U2,8)&lt;&gt;"Sin ruta"),"REVISAR","OK")</f>
        <v>OK</v>
      </c>
      <c r="AL2" t="str">
        <f>IF(OR(AND(E2="Sin evaluación",I2&lt;&gt;""),AND(E2="Por aprobar",I2&lt;&gt;"Pendiente"),AND(OR(E2="Aprobado",E2="Activo",E2="Inactivo"),I2&lt;&gt;"Aprobado"),AND(E2="Rechazado",I2&lt;&gt;"Rechazado")),"REVISAR","OK")</f>
        <v>OK</v>
      </c>
      <c r="AM2" t="str">
        <f>IF(E2="Inactivo",IF(N(AE2)&gt;28,"OK","REVISAR"),IF(E2="Activo",IF(N(AE2)&lt;=28,"OK","REVISAR"),"OK"))</f>
        <v>OK</v>
      </c>
      <c r="AN2" t="str">
        <f>IF(AD2="","OK",IF(OR(AND(INDEX(Pacientes!$AO:$AO,MATCH(A2,Pacientes!$A:$A,0))="Alta",ISNUMBER(SEARCH("app",AD2))),AND(INDEX(Pacientes!$AO:$AO,MATCH(A2,Pacientes!$A:$A,0))="Media",ISNUMBER(SEARCH("WhatsApp",AD2))),AND(INDEX(Pacientes!$AO:$AO,MATCH(A2,Pacientes!$A:$A,0))="Baja",OR(ISNUMBER(SEARCH("Llamada",AD2)),ISNUMBER(SEARCH("Revisita",AD2))))),"OK","REVISAR"))</f>
        <v>OK</v>
      </c>
    </row>
    <row r="3" spans="1:40" x14ac:dyDescent="0.25">
      <c r="A3" t="s">
        <v>322</v>
      </c>
      <c r="B3" t="str">
        <f>INDEX(Pacientes!$D:$D,MATCH(A3,Pacientes!$A:$A,0))</f>
        <v>Cristian Páez Pérez</v>
      </c>
      <c r="C3" t="str">
        <f>INDEX(Pacientes!$N:$N,MATCH(A3,Pacientes!$A:$A,0))</f>
        <v>BUC</v>
      </c>
      <c r="D3" t="str">
        <f>INDEX(Pacientes!$AS:$AS,MATCH(A3,Pacientes!$A:$A,0))&amp;""</f>
        <v>P05</v>
      </c>
      <c r="E3" s="25" t="s">
        <v>60</v>
      </c>
      <c r="F3" s="29"/>
      <c r="G3" s="29">
        <v>46273</v>
      </c>
      <c r="H3">
        <v>41</v>
      </c>
      <c r="I3" t="s">
        <v>99</v>
      </c>
      <c r="J3" s="29">
        <v>46274</v>
      </c>
      <c r="K3" t="s">
        <v>190</v>
      </c>
      <c r="L3" s="2" t="s">
        <v>3</v>
      </c>
      <c r="M3" t="s">
        <v>3</v>
      </c>
      <c r="N3" s="2" t="s">
        <v>3</v>
      </c>
      <c r="O3" s="34"/>
      <c r="P3" t="s">
        <v>3</v>
      </c>
      <c r="Q3" t="s">
        <v>291</v>
      </c>
      <c r="R3" t="s">
        <v>291</v>
      </c>
      <c r="S3" t="s">
        <v>533</v>
      </c>
      <c r="T3" t="s">
        <v>286</v>
      </c>
      <c r="U3" s="2" t="s">
        <v>75</v>
      </c>
      <c r="V3">
        <v>6</v>
      </c>
      <c r="W3">
        <v>3</v>
      </c>
      <c r="X3" t="s">
        <v>540</v>
      </c>
      <c r="Y3">
        <v>4</v>
      </c>
      <c r="Z3" s="2" t="s">
        <v>541</v>
      </c>
      <c r="AA3" t="s">
        <v>542</v>
      </c>
      <c r="AB3" t="s">
        <v>543</v>
      </c>
      <c r="AC3" s="29">
        <v>46302</v>
      </c>
      <c r="AD3" t="s">
        <v>544</v>
      </c>
      <c r="AE3">
        <f>IF(AC3="","",DATE(2026,10,8)-AC3)</f>
        <v>1</v>
      </c>
      <c r="AF3" t="str">
        <f>IF(AE3="","",IF(AE3&gt;=14,"Sí","No"))</f>
        <v>No</v>
      </c>
      <c r="AG3">
        <v>82</v>
      </c>
      <c r="AH3" t="s">
        <v>291</v>
      </c>
      <c r="AI3" s="2" t="s">
        <v>545</v>
      </c>
      <c r="AJ3" t="str">
        <f>IF(AND(N(INDEX(Pacientes!$AE:$AE,MATCH(A3,Pacientes!$A:$A,0)))&gt;0,E3&lt;&gt;"Crisis"),"REVISAR","OK")</f>
        <v>OK</v>
      </c>
      <c r="AK3" t="str">
        <f>IF(AND(ISNUMBER(SEARCH("Manilla",U3)),S3&lt;&gt;"Sí",LEFT(U3,8)&lt;&gt;"Sin ruta"),"REVISAR","OK")</f>
        <v>OK</v>
      </c>
      <c r="AL3" t="str">
        <f>IF(OR(AND(E3="Sin evaluación",I3&lt;&gt;""),AND(E3="Por aprobar",I3&lt;&gt;"Pendiente"),AND(OR(E3="Aprobado",E3="Activo",E3="Inactivo"),I3&lt;&gt;"Aprobado"),AND(E3="Rechazado",I3&lt;&gt;"Rechazado")),"REVISAR","OK")</f>
        <v>OK</v>
      </c>
      <c r="AM3" t="str">
        <f>IF(E3="Inactivo",IF(N(AE3)&gt;28,"OK","REVISAR"),IF(E3="Activo",IF(N(AE3)&lt;=28,"OK","REVISAR"),"OK"))</f>
        <v>OK</v>
      </c>
      <c r="AN3" t="str">
        <f>IF(AD3="","OK",IF(OR(AND(INDEX(Pacientes!$AO:$AO,MATCH(A3,Pacientes!$A:$A,0))="Alta",ISNUMBER(SEARCH("app",AD3))),AND(INDEX(Pacientes!$AO:$AO,MATCH(A3,Pacientes!$A:$A,0))="Media",ISNUMBER(SEARCH("WhatsApp",AD3))),AND(INDEX(Pacientes!$AO:$AO,MATCH(A3,Pacientes!$A:$A,0))="Baja",OR(ISNUMBER(SEARCH("Llamada",AD3)),ISNUMBER(SEARCH("Revisita",AD3))))),"OK","REVISAR"))</f>
        <v>OK</v>
      </c>
    </row>
    <row r="4" spans="1:40" x14ac:dyDescent="0.25">
      <c r="A4" t="s">
        <v>327</v>
      </c>
      <c r="B4" t="str">
        <f>INDEX(Pacientes!$D:$D,MATCH(A4,Pacientes!$A:$A,0))</f>
        <v>Silvia Margarita Martínez Franco</v>
      </c>
      <c r="C4" t="str">
        <f>INDEX(Pacientes!$N:$N,MATCH(A4,Pacientes!$A:$A,0))</f>
        <v>BUC</v>
      </c>
      <c r="D4" t="str">
        <f>INDEX(Pacientes!$AS:$AS,MATCH(A4,Pacientes!$A:$A,0))&amp;""</f>
        <v>P09</v>
      </c>
      <c r="E4" s="9" t="s">
        <v>68</v>
      </c>
      <c r="F4" s="29"/>
      <c r="G4" s="29">
        <v>46302</v>
      </c>
      <c r="H4">
        <v>38</v>
      </c>
      <c r="I4" t="s">
        <v>546</v>
      </c>
      <c r="J4" s="29"/>
      <c r="K4" t="s">
        <v>3</v>
      </c>
      <c r="L4" s="2" t="s">
        <v>3</v>
      </c>
      <c r="M4" t="s">
        <v>3</v>
      </c>
      <c r="N4" s="2" t="s">
        <v>3</v>
      </c>
      <c r="O4" s="34"/>
      <c r="P4" t="s">
        <v>3</v>
      </c>
      <c r="Q4" t="s">
        <v>291</v>
      </c>
      <c r="R4" t="s">
        <v>291</v>
      </c>
      <c r="S4" t="s">
        <v>291</v>
      </c>
      <c r="T4" t="s">
        <v>286</v>
      </c>
      <c r="U4" s="2" t="s">
        <v>90</v>
      </c>
      <c r="V4">
        <v>9</v>
      </c>
      <c r="W4">
        <v>6</v>
      </c>
      <c r="X4" t="s">
        <v>547</v>
      </c>
      <c r="Y4">
        <v>4</v>
      </c>
      <c r="Z4" s="2" t="s">
        <v>548</v>
      </c>
      <c r="AA4" t="s">
        <v>536</v>
      </c>
      <c r="AB4" t="s">
        <v>549</v>
      </c>
      <c r="AC4" s="29"/>
      <c r="AD4" t="s">
        <v>3</v>
      </c>
      <c r="AE4" t="str">
        <f>IF(AC4="","",DATE(2026,10,8)-AC4)</f>
        <v/>
      </c>
      <c r="AF4" t="str">
        <f>IF(AE4="","",IF(AE4&gt;=14,"Sí","No"))</f>
        <v/>
      </c>
      <c r="AG4" t="s">
        <v>3</v>
      </c>
      <c r="AH4" t="s">
        <v>286</v>
      </c>
      <c r="AI4" s="2" t="s">
        <v>550</v>
      </c>
      <c r="AJ4" t="str">
        <f>IF(AND(N(INDEX(Pacientes!$AE:$AE,MATCH(A4,Pacientes!$A:$A,0)))&gt;0,E4&lt;&gt;"Crisis"),"REVISAR","OK")</f>
        <v>OK</v>
      </c>
      <c r="AK4" t="str">
        <f>IF(AND(ISNUMBER(SEARCH("Manilla",U4)),S4&lt;&gt;"Sí",LEFT(U4,8)&lt;&gt;"Sin ruta"),"REVISAR","OK")</f>
        <v>OK</v>
      </c>
      <c r="AL4" t="str">
        <f>IF(OR(AND(E4="Sin evaluación",I4&lt;&gt;""),AND(E4="Por aprobar",I4&lt;&gt;"Pendiente"),AND(OR(E4="Aprobado",E4="Activo",E4="Inactivo"),I4&lt;&gt;"Aprobado"),AND(E4="Rechazado",I4&lt;&gt;"Rechazado")),"REVISAR","OK")</f>
        <v>OK</v>
      </c>
      <c r="AM4" t="str">
        <f>IF(E4="Inactivo",IF(N(AE4)&gt;28,"OK","REVISAR"),IF(E4="Activo",IF(N(AE4)&lt;=28,"OK","REVISAR"),"OK"))</f>
        <v>OK</v>
      </c>
      <c r="AN4" t="str">
        <f>IF(AD4="","OK",IF(OR(AND(INDEX(Pacientes!$AO:$AO,MATCH(A4,Pacientes!$A:$A,0))="Alta",ISNUMBER(SEARCH("app",AD4))),AND(INDEX(Pacientes!$AO:$AO,MATCH(A4,Pacientes!$A:$A,0))="Media",ISNUMBER(SEARCH("WhatsApp",AD4))),AND(INDEX(Pacientes!$AO:$AO,MATCH(A4,Pacientes!$A:$A,0))="Baja",OR(ISNUMBER(SEARCH("Llamada",AD4)),ISNUMBER(SEARCH("Revisita",AD4))))),"OK","REVISAR"))</f>
        <v>OK</v>
      </c>
    </row>
    <row r="5" spans="1:40" x14ac:dyDescent="0.25">
      <c r="A5" t="s">
        <v>332</v>
      </c>
      <c r="B5" t="str">
        <f>INDEX(Pacientes!$D:$D,MATCH(A5,Pacientes!$A:$A,0))</f>
        <v>Sandra Milena García Pinto</v>
      </c>
      <c r="C5" t="str">
        <f>INDEX(Pacientes!$N:$N,MATCH(A5,Pacientes!$A:$A,0))</f>
        <v>FLO</v>
      </c>
      <c r="D5" t="str">
        <f>INDEX(Pacientes!$AS:$AS,MATCH(A5,Pacientes!$A:$A,0))&amp;""</f>
        <v>P04</v>
      </c>
      <c r="E5" s="25" t="s">
        <v>60</v>
      </c>
      <c r="F5" s="29"/>
      <c r="G5" s="29">
        <v>46275</v>
      </c>
      <c r="H5">
        <v>45</v>
      </c>
      <c r="I5" t="s">
        <v>99</v>
      </c>
      <c r="J5" s="29">
        <v>46276</v>
      </c>
      <c r="K5" t="s">
        <v>199</v>
      </c>
      <c r="L5" s="2" t="s">
        <v>3</v>
      </c>
      <c r="M5" t="s">
        <v>3</v>
      </c>
      <c r="N5" s="2" t="s">
        <v>3</v>
      </c>
      <c r="O5" s="34"/>
      <c r="P5" t="s">
        <v>3</v>
      </c>
      <c r="Q5" t="s">
        <v>291</v>
      </c>
      <c r="R5" t="s">
        <v>291</v>
      </c>
      <c r="S5" t="s">
        <v>533</v>
      </c>
      <c r="T5" t="s">
        <v>286</v>
      </c>
      <c r="U5" s="2" t="s">
        <v>72</v>
      </c>
      <c r="V5">
        <v>5</v>
      </c>
      <c r="W5">
        <v>3</v>
      </c>
      <c r="X5" t="s">
        <v>547</v>
      </c>
      <c r="Y5">
        <v>4</v>
      </c>
      <c r="Z5" s="2" t="s">
        <v>548</v>
      </c>
      <c r="AA5" t="s">
        <v>536</v>
      </c>
      <c r="AB5" t="s">
        <v>537</v>
      </c>
      <c r="AC5" s="29">
        <v>46301</v>
      </c>
      <c r="AD5" t="s">
        <v>551</v>
      </c>
      <c r="AE5">
        <f>IF(AC5="","",DATE(2026,10,8)-AC5)</f>
        <v>2</v>
      </c>
      <c r="AF5" t="str">
        <f>IF(AE5="","",IF(AE5&gt;=14,"Sí","No"))</f>
        <v>No</v>
      </c>
      <c r="AG5">
        <v>75</v>
      </c>
      <c r="AH5" t="s">
        <v>291</v>
      </c>
      <c r="AI5" s="2" t="s">
        <v>545</v>
      </c>
      <c r="AJ5" t="str">
        <f>IF(AND(N(INDEX(Pacientes!$AE:$AE,MATCH(A5,Pacientes!$A:$A,0)))&gt;0,E5&lt;&gt;"Crisis"),"REVISAR","OK")</f>
        <v>OK</v>
      </c>
      <c r="AK5" t="str">
        <f>IF(AND(ISNUMBER(SEARCH("Manilla",U5)),S5&lt;&gt;"Sí",LEFT(U5,8)&lt;&gt;"Sin ruta"),"REVISAR","OK")</f>
        <v>OK</v>
      </c>
      <c r="AL5" t="str">
        <f>IF(OR(AND(E5="Sin evaluación",I5&lt;&gt;""),AND(E5="Por aprobar",I5&lt;&gt;"Pendiente"),AND(OR(E5="Aprobado",E5="Activo",E5="Inactivo"),I5&lt;&gt;"Aprobado"),AND(E5="Rechazado",I5&lt;&gt;"Rechazado")),"REVISAR","OK")</f>
        <v>OK</v>
      </c>
      <c r="AM5" t="str">
        <f>IF(E5="Inactivo",IF(N(AE5)&gt;28,"OK","REVISAR"),IF(E5="Activo",IF(N(AE5)&lt;=28,"OK","REVISAR"),"OK"))</f>
        <v>OK</v>
      </c>
      <c r="AN5" t="str">
        <f>IF(AD5="","OK",IF(OR(AND(INDEX(Pacientes!$AO:$AO,MATCH(A5,Pacientes!$A:$A,0))="Alta",ISNUMBER(SEARCH("app",AD5))),AND(INDEX(Pacientes!$AO:$AO,MATCH(A5,Pacientes!$A:$A,0))="Media",ISNUMBER(SEARCH("WhatsApp",AD5))),AND(INDEX(Pacientes!$AO:$AO,MATCH(A5,Pacientes!$A:$A,0))="Baja",OR(ISNUMBER(SEARCH("Llamada",AD5)),ISNUMBER(SEARCH("Revisita",AD5))))),"OK","REVISAR"))</f>
        <v>OK</v>
      </c>
    </row>
    <row r="6" spans="1:40" x14ac:dyDescent="0.25">
      <c r="A6" t="s">
        <v>337</v>
      </c>
      <c r="B6" t="str">
        <f>INDEX(Pacientes!$D:$D,MATCH(A6,Pacientes!$A:$A,0))</f>
        <v>Vanessa Castellanos</v>
      </c>
      <c r="C6" t="str">
        <f>INDEX(Pacientes!$N:$N,MATCH(A6,Pacientes!$A:$A,0))</f>
        <v>FLO</v>
      </c>
      <c r="D6" t="str">
        <f>INDEX(Pacientes!$AS:$AS,MATCH(A6,Pacientes!$A:$A,0))&amp;""</f>
        <v>P08</v>
      </c>
      <c r="E6" s="9" t="s">
        <v>68</v>
      </c>
      <c r="F6" s="29"/>
      <c r="G6" s="29">
        <v>46301</v>
      </c>
      <c r="H6">
        <v>29</v>
      </c>
      <c r="I6" t="s">
        <v>546</v>
      </c>
      <c r="J6" s="29"/>
      <c r="K6" t="s">
        <v>3</v>
      </c>
      <c r="L6" s="2" t="s">
        <v>3</v>
      </c>
      <c r="M6" t="s">
        <v>3</v>
      </c>
      <c r="N6" s="2" t="s">
        <v>3</v>
      </c>
      <c r="O6" s="34"/>
      <c r="P6" t="s">
        <v>3</v>
      </c>
      <c r="Q6" t="s">
        <v>291</v>
      </c>
      <c r="R6" t="s">
        <v>291</v>
      </c>
      <c r="S6" t="s">
        <v>291</v>
      </c>
      <c r="T6" t="s">
        <v>286</v>
      </c>
      <c r="U6" s="2" t="s">
        <v>86</v>
      </c>
      <c r="V6">
        <v>8</v>
      </c>
      <c r="W6">
        <v>6</v>
      </c>
      <c r="X6" t="s">
        <v>540</v>
      </c>
      <c r="Y6">
        <v>4</v>
      </c>
      <c r="Z6" s="2" t="s">
        <v>541</v>
      </c>
      <c r="AA6" t="s">
        <v>536</v>
      </c>
      <c r="AB6" t="s">
        <v>543</v>
      </c>
      <c r="AC6" s="29"/>
      <c r="AD6" t="s">
        <v>3</v>
      </c>
      <c r="AE6" t="str">
        <f>IF(AC6="","",DATE(2026,10,8)-AC6)</f>
        <v/>
      </c>
      <c r="AF6" t="str">
        <f>IF(AE6="","",IF(AE6&gt;=14,"Sí","No"))</f>
        <v/>
      </c>
      <c r="AG6" t="s">
        <v>3</v>
      </c>
      <c r="AH6" t="s">
        <v>286</v>
      </c>
      <c r="AI6" s="2" t="s">
        <v>550</v>
      </c>
      <c r="AJ6" t="str">
        <f>IF(AND(N(INDEX(Pacientes!$AE:$AE,MATCH(A6,Pacientes!$A:$A,0)))&gt;0,E6&lt;&gt;"Crisis"),"REVISAR","OK")</f>
        <v>OK</v>
      </c>
      <c r="AK6" t="str">
        <f>IF(AND(ISNUMBER(SEARCH("Manilla",U6)),S6&lt;&gt;"Sí",LEFT(U6,8)&lt;&gt;"Sin ruta"),"REVISAR","OK")</f>
        <v>OK</v>
      </c>
      <c r="AL6" t="str">
        <f>IF(OR(AND(E6="Sin evaluación",I6&lt;&gt;""),AND(E6="Por aprobar",I6&lt;&gt;"Pendiente"),AND(OR(E6="Aprobado",E6="Activo",E6="Inactivo"),I6&lt;&gt;"Aprobado"),AND(E6="Rechazado",I6&lt;&gt;"Rechazado")),"REVISAR","OK")</f>
        <v>OK</v>
      </c>
      <c r="AM6" t="str">
        <f>IF(E6="Inactivo",IF(N(AE6)&gt;28,"OK","REVISAR"),IF(E6="Activo",IF(N(AE6)&lt;=28,"OK","REVISAR"),"OK"))</f>
        <v>OK</v>
      </c>
      <c r="AN6" t="str">
        <f>IF(AD6="","OK",IF(OR(AND(INDEX(Pacientes!$AO:$AO,MATCH(A6,Pacientes!$A:$A,0))="Alta",ISNUMBER(SEARCH("app",AD6))),AND(INDEX(Pacientes!$AO:$AO,MATCH(A6,Pacientes!$A:$A,0))="Media",ISNUMBER(SEARCH("WhatsApp",AD6))),AND(INDEX(Pacientes!$AO:$AO,MATCH(A6,Pacientes!$A:$A,0))="Baja",OR(ISNUMBER(SEARCH("Llamada",AD6)),ISNUMBER(SEARCH("Revisita",AD6))))),"OK","REVISAR"))</f>
        <v>OK</v>
      </c>
    </row>
    <row r="7" spans="1:40" x14ac:dyDescent="0.25">
      <c r="A7" t="s">
        <v>342</v>
      </c>
      <c r="B7" t="str">
        <f>INDEX(Pacientes!$D:$D,MATCH(A7,Pacientes!$A:$A,0))</f>
        <v>Paula Pimienta</v>
      </c>
      <c r="C7" t="str">
        <f>INDEX(Pacientes!$N:$N,MATCH(A7,Pacientes!$A:$A,0))</f>
        <v>FLO</v>
      </c>
      <c r="D7" t="str">
        <f>INDEX(Pacientes!$AS:$AS,MATCH(A7,Pacientes!$A:$A,0))&amp;""</f>
        <v>P12</v>
      </c>
      <c r="E7" s="25" t="s">
        <v>60</v>
      </c>
      <c r="F7" s="29"/>
      <c r="G7" s="29">
        <v>46296</v>
      </c>
      <c r="H7">
        <v>52</v>
      </c>
      <c r="I7" t="s">
        <v>99</v>
      </c>
      <c r="J7" s="29">
        <v>46297</v>
      </c>
      <c r="K7" t="s">
        <v>199</v>
      </c>
      <c r="L7" s="2" t="s">
        <v>3</v>
      </c>
      <c r="M7" t="s">
        <v>3</v>
      </c>
      <c r="N7" s="2" t="s">
        <v>3</v>
      </c>
      <c r="O7" s="34"/>
      <c r="P7" t="s">
        <v>3</v>
      </c>
      <c r="Q7" t="s">
        <v>291</v>
      </c>
      <c r="R7" t="s">
        <v>291</v>
      </c>
      <c r="S7" t="s">
        <v>291</v>
      </c>
      <c r="T7" t="s">
        <v>291</v>
      </c>
      <c r="U7" s="2" t="s">
        <v>106</v>
      </c>
      <c r="V7">
        <v>10</v>
      </c>
      <c r="W7">
        <v>12</v>
      </c>
      <c r="X7" t="s">
        <v>547</v>
      </c>
      <c r="Y7">
        <v>4</v>
      </c>
      <c r="Z7" s="2" t="s">
        <v>548</v>
      </c>
      <c r="AA7" t="s">
        <v>552</v>
      </c>
      <c r="AB7" t="s">
        <v>549</v>
      </c>
      <c r="AC7" s="29">
        <v>46302</v>
      </c>
      <c r="AD7" t="s">
        <v>553</v>
      </c>
      <c r="AE7">
        <f>IF(AC7="","",DATE(2026,10,8)-AC7)</f>
        <v>1</v>
      </c>
      <c r="AF7" t="str">
        <f>IF(AE7="","",IF(AE7&gt;=14,"Sí","No"))</f>
        <v>No</v>
      </c>
      <c r="AG7">
        <v>90</v>
      </c>
      <c r="AH7" t="s">
        <v>291</v>
      </c>
      <c r="AI7" s="2" t="s">
        <v>545</v>
      </c>
      <c r="AJ7" t="str">
        <f>IF(AND(N(INDEX(Pacientes!$AE:$AE,MATCH(A7,Pacientes!$A:$A,0)))&gt;0,E7&lt;&gt;"Crisis"),"REVISAR","OK")</f>
        <v>OK</v>
      </c>
      <c r="AK7" t="str">
        <f>IF(AND(ISNUMBER(SEARCH("Manilla",U7)),S7&lt;&gt;"Sí",LEFT(U7,8)&lt;&gt;"Sin ruta"),"REVISAR","OK")</f>
        <v>OK</v>
      </c>
      <c r="AL7" t="str">
        <f>IF(OR(AND(E7="Sin evaluación",I7&lt;&gt;""),AND(E7="Por aprobar",I7&lt;&gt;"Pendiente"),AND(OR(E7="Aprobado",E7="Activo",E7="Inactivo"),I7&lt;&gt;"Aprobado"),AND(E7="Rechazado",I7&lt;&gt;"Rechazado")),"REVISAR","OK")</f>
        <v>OK</v>
      </c>
      <c r="AM7" t="str">
        <f>IF(E7="Inactivo",IF(N(AE7)&gt;28,"OK","REVISAR"),IF(E7="Activo",IF(N(AE7)&lt;=28,"OK","REVISAR"),"OK"))</f>
        <v>OK</v>
      </c>
      <c r="AN7" t="str">
        <f>IF(AD7="","OK",IF(OR(AND(INDEX(Pacientes!$AO:$AO,MATCH(A7,Pacientes!$A:$A,0))="Alta",ISNUMBER(SEARCH("app",AD7))),AND(INDEX(Pacientes!$AO:$AO,MATCH(A7,Pacientes!$A:$A,0))="Media",ISNUMBER(SEARCH("WhatsApp",AD7))),AND(INDEX(Pacientes!$AO:$AO,MATCH(A7,Pacientes!$A:$A,0))="Baja",OR(ISNUMBER(SEARCH("Llamada",AD7)),ISNUMBER(SEARCH("Revisita",AD7))))),"OK","REVISAR"))</f>
        <v>OK</v>
      </c>
    </row>
    <row r="8" spans="1:40" x14ac:dyDescent="0.25">
      <c r="A8" t="s">
        <v>347</v>
      </c>
      <c r="B8" t="str">
        <f>INDEX(Pacientes!$D:$D,MATCH(A8,Pacientes!$A:$A,0))</f>
        <v>Ana Rojas</v>
      </c>
      <c r="C8" t="str">
        <f>INDEX(Pacientes!$N:$N,MATCH(A8,Pacientes!$A:$A,0))</f>
        <v>BOG</v>
      </c>
      <c r="D8" t="str">
        <f>INDEX(Pacientes!$AS:$AS,MATCH(A8,Pacientes!$A:$A,0))&amp;""</f>
        <v>P07</v>
      </c>
      <c r="E8" s="25" t="s">
        <v>60</v>
      </c>
      <c r="F8" s="29"/>
      <c r="G8" s="29">
        <v>46280</v>
      </c>
      <c r="H8">
        <v>48</v>
      </c>
      <c r="I8" t="s">
        <v>99</v>
      </c>
      <c r="J8" s="29">
        <v>46281</v>
      </c>
      <c r="K8" t="s">
        <v>209</v>
      </c>
      <c r="L8" s="2" t="s">
        <v>3</v>
      </c>
      <c r="M8" t="s">
        <v>3</v>
      </c>
      <c r="N8" s="2" t="s">
        <v>3</v>
      </c>
      <c r="O8" s="34"/>
      <c r="P8" t="s">
        <v>3</v>
      </c>
      <c r="Q8" t="s">
        <v>291</v>
      </c>
      <c r="R8" t="s">
        <v>291</v>
      </c>
      <c r="S8" t="s">
        <v>291</v>
      </c>
      <c r="T8" t="s">
        <v>286</v>
      </c>
      <c r="U8" s="2" t="s">
        <v>83</v>
      </c>
      <c r="V8">
        <v>8</v>
      </c>
      <c r="W8">
        <v>6</v>
      </c>
      <c r="X8" t="s">
        <v>547</v>
      </c>
      <c r="Y8">
        <v>4</v>
      </c>
      <c r="Z8" s="2" t="s">
        <v>548</v>
      </c>
      <c r="AA8" t="s">
        <v>536</v>
      </c>
      <c r="AB8" t="s">
        <v>537</v>
      </c>
      <c r="AC8" s="29">
        <v>46285</v>
      </c>
      <c r="AD8" t="s">
        <v>538</v>
      </c>
      <c r="AE8">
        <f>IF(AC8="","",DATE(2026,10,8)-AC8)</f>
        <v>18</v>
      </c>
      <c r="AF8" t="str">
        <f>IF(AE8="","",IF(AE8&gt;=14,"Sí","No"))</f>
        <v>Sí</v>
      </c>
      <c r="AG8">
        <v>45</v>
      </c>
      <c r="AH8" t="s">
        <v>291</v>
      </c>
      <c r="AI8" s="2" t="s">
        <v>545</v>
      </c>
      <c r="AJ8" t="str">
        <f>IF(AND(N(INDEX(Pacientes!$AE:$AE,MATCH(A8,Pacientes!$A:$A,0)))&gt;0,E8&lt;&gt;"Crisis"),"REVISAR","OK")</f>
        <v>OK</v>
      </c>
      <c r="AK8" t="str">
        <f>IF(AND(ISNUMBER(SEARCH("Manilla",U8)),S8&lt;&gt;"Sí",LEFT(U8,8)&lt;&gt;"Sin ruta"),"REVISAR","OK")</f>
        <v>OK</v>
      </c>
      <c r="AL8" t="str">
        <f>IF(OR(AND(E8="Sin evaluación",I8&lt;&gt;""),AND(E8="Por aprobar",I8&lt;&gt;"Pendiente"),AND(OR(E8="Aprobado",E8="Activo",E8="Inactivo"),I8&lt;&gt;"Aprobado"),AND(E8="Rechazado",I8&lt;&gt;"Rechazado")),"REVISAR","OK")</f>
        <v>OK</v>
      </c>
      <c r="AM8" t="str">
        <f>IF(E8="Inactivo",IF(N(AE8)&gt;28,"OK","REVISAR"),IF(E8="Activo",IF(N(AE8)&lt;=28,"OK","REVISAR"),"OK"))</f>
        <v>OK</v>
      </c>
      <c r="AN8" t="str">
        <f>IF(AD8="","OK",IF(OR(AND(INDEX(Pacientes!$AO:$AO,MATCH(A8,Pacientes!$A:$A,0))="Alta",ISNUMBER(SEARCH("app",AD8))),AND(INDEX(Pacientes!$AO:$AO,MATCH(A8,Pacientes!$A:$A,0))="Media",ISNUMBER(SEARCH("WhatsApp",AD8))),AND(INDEX(Pacientes!$AO:$AO,MATCH(A8,Pacientes!$A:$A,0))="Baja",OR(ISNUMBER(SEARCH("Llamada",AD8)),ISNUMBER(SEARCH("Revisita",AD8))))),"OK","REVISAR"))</f>
        <v>OK</v>
      </c>
    </row>
    <row r="9" spans="1:40" x14ac:dyDescent="0.25">
      <c r="A9" t="s">
        <v>352</v>
      </c>
      <c r="B9" t="str">
        <f>INDEX(Pacientes!$D:$D,MATCH(A9,Pacientes!$A:$A,0))</f>
        <v>Julieth</v>
      </c>
      <c r="C9" t="str">
        <f>INDEX(Pacientes!$N:$N,MATCH(A9,Pacientes!$A:$A,0))</f>
        <v>BOG</v>
      </c>
      <c r="D9" t="str">
        <f>INDEX(Pacientes!$AS:$AS,MATCH(A9,Pacientes!$A:$A,0))&amp;""</f>
        <v>P11</v>
      </c>
      <c r="E9" s="10" t="s">
        <v>104</v>
      </c>
      <c r="F9" s="29"/>
      <c r="G9" s="29">
        <v>46298</v>
      </c>
      <c r="H9">
        <v>23</v>
      </c>
      <c r="I9" t="s">
        <v>104</v>
      </c>
      <c r="J9" s="29">
        <v>46300</v>
      </c>
      <c r="K9" t="s">
        <v>209</v>
      </c>
      <c r="L9" s="2" t="s">
        <v>554</v>
      </c>
      <c r="M9" t="s">
        <v>3</v>
      </c>
      <c r="N9" s="2" t="s">
        <v>3</v>
      </c>
      <c r="O9" s="34"/>
      <c r="P9" t="s">
        <v>3</v>
      </c>
      <c r="Q9" t="s">
        <v>291</v>
      </c>
      <c r="R9" t="s">
        <v>291</v>
      </c>
      <c r="S9" t="s">
        <v>291</v>
      </c>
      <c r="T9" t="s">
        <v>291</v>
      </c>
      <c r="U9" s="2" t="s">
        <v>555</v>
      </c>
      <c r="V9">
        <v>9</v>
      </c>
      <c r="W9">
        <v>12</v>
      </c>
      <c r="X9" t="s">
        <v>540</v>
      </c>
      <c r="Y9">
        <v>4</v>
      </c>
      <c r="Z9" s="2" t="s">
        <v>541</v>
      </c>
      <c r="AA9" t="s">
        <v>552</v>
      </c>
      <c r="AB9" t="s">
        <v>543</v>
      </c>
      <c r="AC9" s="29"/>
      <c r="AD9" t="s">
        <v>3</v>
      </c>
      <c r="AE9" t="str">
        <f>IF(AC9="","",DATE(2026,10,8)-AC9)</f>
        <v/>
      </c>
      <c r="AF9" t="str">
        <f>IF(AE9="","",IF(AE9&gt;=14,"Sí","No"))</f>
        <v/>
      </c>
      <c r="AG9" t="s">
        <v>3</v>
      </c>
      <c r="AH9" t="s">
        <v>286</v>
      </c>
      <c r="AI9" s="2" t="s">
        <v>556</v>
      </c>
      <c r="AJ9" t="str">
        <f>IF(AND(N(INDEX(Pacientes!$AE:$AE,MATCH(A9,Pacientes!$A:$A,0)))&gt;0,E9&lt;&gt;"Crisis"),"REVISAR","OK")</f>
        <v>OK</v>
      </c>
      <c r="AK9" t="str">
        <f>IF(AND(ISNUMBER(SEARCH("Manilla",U9)),S9&lt;&gt;"Sí",LEFT(U9,8)&lt;&gt;"Sin ruta"),"REVISAR","OK")</f>
        <v>OK</v>
      </c>
      <c r="AL9" t="str">
        <f>IF(OR(AND(E9="Sin evaluación",I9&lt;&gt;""),AND(E9="Por aprobar",I9&lt;&gt;"Pendiente"),AND(OR(E9="Aprobado",E9="Activo",E9="Inactivo"),I9&lt;&gt;"Aprobado"),AND(E9="Rechazado",I9&lt;&gt;"Rechazado")),"REVISAR","OK")</f>
        <v>OK</v>
      </c>
      <c r="AM9" t="str">
        <f>IF(E9="Inactivo",IF(N(AE9)&gt;28,"OK","REVISAR"),IF(E9="Activo",IF(N(AE9)&lt;=28,"OK","REVISAR"),"OK"))</f>
        <v>OK</v>
      </c>
      <c r="AN9" t="str">
        <f>IF(AD9="","OK",IF(OR(AND(INDEX(Pacientes!$AO:$AO,MATCH(A9,Pacientes!$A:$A,0))="Alta",ISNUMBER(SEARCH("app",AD9))),AND(INDEX(Pacientes!$AO:$AO,MATCH(A9,Pacientes!$A:$A,0))="Media",ISNUMBER(SEARCH("WhatsApp",AD9))),AND(INDEX(Pacientes!$AO:$AO,MATCH(A9,Pacientes!$A:$A,0))="Baja",OR(ISNUMBER(SEARCH("Llamada",AD9)),ISNUMBER(SEARCH("Revisita",AD9))))),"OK","REVISAR"))</f>
        <v>OK</v>
      </c>
    </row>
    <row r="10" spans="1:40" x14ac:dyDescent="0.25">
      <c r="A10" t="s">
        <v>357</v>
      </c>
      <c r="B10" t="str">
        <f>INDEX(Pacientes!$D:$D,MATCH(A10,Pacientes!$A:$A,0))</f>
        <v>Isabel</v>
      </c>
      <c r="C10" t="str">
        <f>INDEX(Pacientes!$N:$N,MATCH(A10,Pacientes!$A:$A,0))</f>
        <v>BOG</v>
      </c>
      <c r="D10" t="str">
        <f>INDEX(Pacientes!$AS:$AS,MATCH(A10,Pacientes!$A:$A,0))&amp;""</f>
        <v>P15</v>
      </c>
      <c r="E10" s="9" t="s">
        <v>68</v>
      </c>
      <c r="F10" s="29"/>
      <c r="G10" s="29">
        <v>46302</v>
      </c>
      <c r="H10">
        <v>55</v>
      </c>
      <c r="I10" t="s">
        <v>546</v>
      </c>
      <c r="J10" s="29"/>
      <c r="K10" t="s">
        <v>3</v>
      </c>
      <c r="L10" s="2" t="s">
        <v>3</v>
      </c>
      <c r="M10" t="s">
        <v>3</v>
      </c>
      <c r="N10" s="2" t="s">
        <v>3</v>
      </c>
      <c r="O10" s="34"/>
      <c r="P10" t="s">
        <v>3</v>
      </c>
      <c r="Q10" t="s">
        <v>291</v>
      </c>
      <c r="R10" t="s">
        <v>291</v>
      </c>
      <c r="S10" t="s">
        <v>291</v>
      </c>
      <c r="T10" t="s">
        <v>291</v>
      </c>
      <c r="U10" s="2" t="s">
        <v>119</v>
      </c>
      <c r="V10">
        <v>8</v>
      </c>
      <c r="W10">
        <v>12</v>
      </c>
      <c r="X10" t="s">
        <v>547</v>
      </c>
      <c r="Y10">
        <v>4</v>
      </c>
      <c r="Z10" s="2" t="s">
        <v>548</v>
      </c>
      <c r="AA10" t="s">
        <v>552</v>
      </c>
      <c r="AB10" t="s">
        <v>549</v>
      </c>
      <c r="AC10" s="29"/>
      <c r="AD10" t="s">
        <v>3</v>
      </c>
      <c r="AE10" t="str">
        <f>IF(AC10="","",DATE(2026,10,8)-AC10)</f>
        <v/>
      </c>
      <c r="AF10" t="str">
        <f>IF(AE10="","",IF(AE10&gt;=14,"Sí","No"))</f>
        <v/>
      </c>
      <c r="AG10" t="s">
        <v>3</v>
      </c>
      <c r="AH10" t="s">
        <v>286</v>
      </c>
      <c r="AI10" s="2" t="s">
        <v>550</v>
      </c>
      <c r="AJ10" t="str">
        <f>IF(AND(N(INDEX(Pacientes!$AE:$AE,MATCH(A10,Pacientes!$A:$A,0)))&gt;0,E10&lt;&gt;"Crisis"),"REVISAR","OK")</f>
        <v>OK</v>
      </c>
      <c r="AK10" t="str">
        <f>IF(AND(ISNUMBER(SEARCH("Manilla",U10)),S10&lt;&gt;"Sí",LEFT(U10,8)&lt;&gt;"Sin ruta"),"REVISAR","OK")</f>
        <v>OK</v>
      </c>
      <c r="AL10" t="str">
        <f>IF(OR(AND(E10="Sin evaluación",I10&lt;&gt;""),AND(E10="Por aprobar",I10&lt;&gt;"Pendiente"),AND(OR(E10="Aprobado",E10="Activo",E10="Inactivo"),I10&lt;&gt;"Aprobado"),AND(E10="Rechazado",I10&lt;&gt;"Rechazado")),"REVISAR","OK")</f>
        <v>OK</v>
      </c>
      <c r="AM10" t="str">
        <f>IF(E10="Inactivo",IF(N(AE10)&gt;28,"OK","REVISAR"),IF(E10="Activo",IF(N(AE10)&lt;=28,"OK","REVISAR"),"OK"))</f>
        <v>OK</v>
      </c>
      <c r="AN10" t="str">
        <f>IF(AD10="","OK",IF(OR(AND(INDEX(Pacientes!$AO:$AO,MATCH(A10,Pacientes!$A:$A,0))="Alta",ISNUMBER(SEARCH("app",AD10))),AND(INDEX(Pacientes!$AO:$AO,MATCH(A10,Pacientes!$A:$A,0))="Media",ISNUMBER(SEARCH("WhatsApp",AD10))),AND(INDEX(Pacientes!$AO:$AO,MATCH(A10,Pacientes!$A:$A,0))="Baja",OR(ISNUMBER(SEARCH("Llamada",AD10)),ISNUMBER(SEARCH("Revisita",AD10))))),"OK","REVISAR"))</f>
        <v>OK</v>
      </c>
    </row>
    <row r="11" spans="1:40" x14ac:dyDescent="0.25">
      <c r="A11" t="s">
        <v>362</v>
      </c>
      <c r="B11" t="str">
        <f>INDEX(Pacientes!$D:$D,MATCH(A11,Pacientes!$A:$A,0))</f>
        <v>Lorena Lasso</v>
      </c>
      <c r="C11" t="str">
        <f>INDEX(Pacientes!$N:$N,MATCH(A11,Pacientes!$A:$A,0))</f>
        <v>CAL</v>
      </c>
      <c r="D11" t="str">
        <f>INDEX(Pacientes!$AS:$AS,MATCH(A11,Pacientes!$A:$A,0))&amp;""</f>
        <v>P10</v>
      </c>
      <c r="E11" s="24" t="s">
        <v>99</v>
      </c>
      <c r="F11" s="29"/>
      <c r="G11" s="29">
        <v>46297</v>
      </c>
      <c r="H11">
        <v>47</v>
      </c>
      <c r="I11" t="s">
        <v>99</v>
      </c>
      <c r="J11" s="29">
        <v>46298</v>
      </c>
      <c r="K11" t="s">
        <v>219</v>
      </c>
      <c r="L11" s="2" t="s">
        <v>3</v>
      </c>
      <c r="M11" t="s">
        <v>3</v>
      </c>
      <c r="N11" s="2" t="s">
        <v>3</v>
      </c>
      <c r="O11" s="34"/>
      <c r="P11" t="s">
        <v>3</v>
      </c>
      <c r="Q11" t="s">
        <v>291</v>
      </c>
      <c r="R11" t="s">
        <v>291</v>
      </c>
      <c r="S11" t="s">
        <v>291</v>
      </c>
      <c r="T11" t="s">
        <v>291</v>
      </c>
      <c r="U11" s="2" t="s">
        <v>96</v>
      </c>
      <c r="V11">
        <v>8</v>
      </c>
      <c r="W11">
        <v>12</v>
      </c>
      <c r="X11" t="s">
        <v>547</v>
      </c>
      <c r="Y11">
        <v>4</v>
      </c>
      <c r="Z11" s="2" t="s">
        <v>548</v>
      </c>
      <c r="AA11" t="s">
        <v>552</v>
      </c>
      <c r="AB11" t="s">
        <v>537</v>
      </c>
      <c r="AC11" s="29"/>
      <c r="AD11" t="s">
        <v>3</v>
      </c>
      <c r="AE11" t="str">
        <f>IF(AC11="","",DATE(2026,10,8)-AC11)</f>
        <v/>
      </c>
      <c r="AF11" t="str">
        <f>IF(AE11="","",IF(AE11&gt;=14,"Sí","No"))</f>
        <v/>
      </c>
      <c r="AG11" t="s">
        <v>3</v>
      </c>
      <c r="AH11" t="s">
        <v>291</v>
      </c>
      <c r="AI11" s="2" t="s">
        <v>557</v>
      </c>
      <c r="AJ11" t="str">
        <f>IF(AND(N(INDEX(Pacientes!$AE:$AE,MATCH(A11,Pacientes!$A:$A,0)))&gt;0,E11&lt;&gt;"Crisis"),"REVISAR","OK")</f>
        <v>OK</v>
      </c>
      <c r="AK11" t="str">
        <f>IF(AND(ISNUMBER(SEARCH("Manilla",U11)),S11&lt;&gt;"Sí",LEFT(U11,8)&lt;&gt;"Sin ruta"),"REVISAR","OK")</f>
        <v>OK</v>
      </c>
      <c r="AL11" t="str">
        <f>IF(OR(AND(E11="Sin evaluación",I11&lt;&gt;""),AND(E11="Por aprobar",I11&lt;&gt;"Pendiente"),AND(OR(E11="Aprobado",E11="Activo",E11="Inactivo"),I11&lt;&gt;"Aprobado"),AND(E11="Rechazado",I11&lt;&gt;"Rechazado")),"REVISAR","OK")</f>
        <v>OK</v>
      </c>
      <c r="AM11" t="str">
        <f>IF(E11="Inactivo",IF(N(AE11)&gt;28,"OK","REVISAR"),IF(E11="Activo",IF(N(AE11)&lt;=28,"OK","REVISAR"),"OK"))</f>
        <v>OK</v>
      </c>
      <c r="AN11" t="str">
        <f>IF(AD11="","OK",IF(OR(AND(INDEX(Pacientes!$AO:$AO,MATCH(A11,Pacientes!$A:$A,0))="Alta",ISNUMBER(SEARCH("app",AD11))),AND(INDEX(Pacientes!$AO:$AO,MATCH(A11,Pacientes!$A:$A,0))="Media",ISNUMBER(SEARCH("WhatsApp",AD11))),AND(INDEX(Pacientes!$AO:$AO,MATCH(A11,Pacientes!$A:$A,0))="Baja",OR(ISNUMBER(SEARCH("Llamada",AD11)),ISNUMBER(SEARCH("Revisita",AD11))))),"OK","REVISAR"))</f>
        <v>OK</v>
      </c>
    </row>
    <row r="12" spans="1:40" x14ac:dyDescent="0.25">
      <c r="A12" t="s">
        <v>367</v>
      </c>
      <c r="B12" t="str">
        <f>INDEX(Pacientes!$D:$D,MATCH(A12,Pacientes!$A:$A,0))</f>
        <v>Andrés</v>
      </c>
      <c r="C12" t="str">
        <f>INDEX(Pacientes!$N:$N,MATCH(A12,Pacientes!$A:$A,0))</f>
        <v>CAL</v>
      </c>
      <c r="D12" t="str">
        <f>INDEX(Pacientes!$AS:$AS,MATCH(A12,Pacientes!$A:$A,0))&amp;""</f>
        <v>P14</v>
      </c>
      <c r="E12" s="32" t="s">
        <v>114</v>
      </c>
      <c r="F12" s="29"/>
      <c r="G12" s="29">
        <v>46277</v>
      </c>
      <c r="H12">
        <v>50</v>
      </c>
      <c r="I12" t="s">
        <v>99</v>
      </c>
      <c r="J12" s="29">
        <v>46278</v>
      </c>
      <c r="K12" t="s">
        <v>219</v>
      </c>
      <c r="L12" s="2" t="s">
        <v>3</v>
      </c>
      <c r="M12" t="s">
        <v>558</v>
      </c>
      <c r="N12" s="2" t="s">
        <v>559</v>
      </c>
      <c r="O12" s="34">
        <v>46303.34375</v>
      </c>
      <c r="P12" t="s">
        <v>219</v>
      </c>
      <c r="Q12" t="s">
        <v>291</v>
      </c>
      <c r="R12" t="s">
        <v>291</v>
      </c>
      <c r="S12" t="s">
        <v>291</v>
      </c>
      <c r="T12" t="s">
        <v>291</v>
      </c>
      <c r="U12" s="2" t="s">
        <v>116</v>
      </c>
      <c r="V12">
        <v>7</v>
      </c>
      <c r="W12">
        <v>12</v>
      </c>
      <c r="X12" t="s">
        <v>547</v>
      </c>
      <c r="Y12">
        <v>4</v>
      </c>
      <c r="Z12" s="2" t="s">
        <v>548</v>
      </c>
      <c r="AA12" t="s">
        <v>552</v>
      </c>
      <c r="AB12" t="s">
        <v>543</v>
      </c>
      <c r="AC12" s="29">
        <v>46303</v>
      </c>
      <c r="AD12" t="s">
        <v>560</v>
      </c>
      <c r="AE12">
        <f>IF(AC12="","",DATE(2026,10,8)-AC12)</f>
        <v>0</v>
      </c>
      <c r="AF12" t="str">
        <f>IF(AE12="","",IF(AE12&gt;=14,"Sí","No"))</f>
        <v>No</v>
      </c>
      <c r="AG12">
        <v>64</v>
      </c>
      <c r="AH12" t="s">
        <v>291</v>
      </c>
      <c r="AI12" s="2" t="s">
        <v>561</v>
      </c>
      <c r="AJ12" t="str">
        <f>IF(AND(N(INDEX(Pacientes!$AE:$AE,MATCH(A12,Pacientes!$A:$A,0)))&gt;0,E12&lt;&gt;"Crisis"),"REVISAR","OK")</f>
        <v>OK</v>
      </c>
      <c r="AK12" t="str">
        <f>IF(AND(ISNUMBER(SEARCH("Manilla",U12)),S12&lt;&gt;"Sí",LEFT(U12,8)&lt;&gt;"Sin ruta"),"REVISAR","OK")</f>
        <v>OK</v>
      </c>
      <c r="AL12" t="str">
        <f>IF(OR(AND(E12="Sin evaluación",I12&lt;&gt;""),AND(E12="Por aprobar",I12&lt;&gt;"Pendiente"),AND(OR(E12="Aprobado",E12="Activo",E12="Inactivo"),I12&lt;&gt;"Aprobado"),AND(E12="Rechazado",I12&lt;&gt;"Rechazado")),"REVISAR","OK")</f>
        <v>OK</v>
      </c>
      <c r="AM12" t="str">
        <f>IF(E12="Inactivo",IF(N(AE12)&gt;28,"OK","REVISAR"),IF(E12="Activo",IF(N(AE12)&lt;=28,"OK","REVISAR"),"OK"))</f>
        <v>OK</v>
      </c>
      <c r="AN12" t="str">
        <f>IF(AD12="","OK",IF(OR(AND(INDEX(Pacientes!$AO:$AO,MATCH(A12,Pacientes!$A:$A,0))="Alta",ISNUMBER(SEARCH("app",AD12))),AND(INDEX(Pacientes!$AO:$AO,MATCH(A12,Pacientes!$A:$A,0))="Media",ISNUMBER(SEARCH("WhatsApp",AD12))),AND(INDEX(Pacientes!$AO:$AO,MATCH(A12,Pacientes!$A:$A,0))="Baja",OR(ISNUMBER(SEARCH("Llamada",AD12)),ISNUMBER(SEARCH("Revisita",AD12))))),"OK","REVISAR"))</f>
        <v>OK</v>
      </c>
    </row>
    <row r="13" spans="1:40" x14ac:dyDescent="0.25">
      <c r="A13" t="s">
        <v>372</v>
      </c>
      <c r="B13" t="str">
        <f>INDEX(Pacientes!$D:$D,MATCH(A13,Pacientes!$A:$A,0))</f>
        <v>Yessenia Coime</v>
      </c>
      <c r="C13" t="str">
        <f>INDEX(Pacientes!$N:$N,MATCH(A13,Pacientes!$A:$A,0))</f>
        <v>CAL</v>
      </c>
      <c r="D13" t="str">
        <f>INDEX(Pacientes!$AS:$AS,MATCH(A13,Pacientes!$A:$A,0))&amp;""</f>
        <v>P03</v>
      </c>
      <c r="E13" s="9" t="s">
        <v>68</v>
      </c>
      <c r="F13" s="29"/>
      <c r="G13" s="29">
        <v>46302</v>
      </c>
      <c r="H13">
        <v>27</v>
      </c>
      <c r="I13" t="s">
        <v>546</v>
      </c>
      <c r="J13" s="29"/>
      <c r="K13" t="s">
        <v>3</v>
      </c>
      <c r="L13" s="2" t="s">
        <v>3</v>
      </c>
      <c r="M13" t="s">
        <v>3</v>
      </c>
      <c r="N13" s="2" t="s">
        <v>3</v>
      </c>
      <c r="O13" s="34"/>
      <c r="P13" t="s">
        <v>3</v>
      </c>
      <c r="Q13" t="s">
        <v>291</v>
      </c>
      <c r="R13" t="s">
        <v>291</v>
      </c>
      <c r="S13" t="s">
        <v>533</v>
      </c>
      <c r="T13" t="s">
        <v>286</v>
      </c>
      <c r="U13" s="2" t="s">
        <v>65</v>
      </c>
      <c r="V13">
        <v>6</v>
      </c>
      <c r="W13">
        <v>3</v>
      </c>
      <c r="X13" t="s">
        <v>547</v>
      </c>
      <c r="Y13">
        <v>4</v>
      </c>
      <c r="Z13" s="2" t="s">
        <v>548</v>
      </c>
      <c r="AA13" t="s">
        <v>542</v>
      </c>
      <c r="AB13" t="s">
        <v>549</v>
      </c>
      <c r="AC13" s="29"/>
      <c r="AD13" t="s">
        <v>3</v>
      </c>
      <c r="AE13" t="str">
        <f>IF(AC13="","",DATE(2026,10,8)-AC13)</f>
        <v/>
      </c>
      <c r="AF13" t="str">
        <f>IF(AE13="","",IF(AE13&gt;=14,"Sí","No"))</f>
        <v/>
      </c>
      <c r="AG13" t="s">
        <v>3</v>
      </c>
      <c r="AH13" t="s">
        <v>286</v>
      </c>
      <c r="AI13" s="2" t="s">
        <v>550</v>
      </c>
      <c r="AJ13" t="str">
        <f>IF(AND(N(INDEX(Pacientes!$AE:$AE,MATCH(A13,Pacientes!$A:$A,0)))&gt;0,E13&lt;&gt;"Crisis"),"REVISAR","OK")</f>
        <v>OK</v>
      </c>
      <c r="AK13" t="str">
        <f>IF(AND(ISNUMBER(SEARCH("Manilla",U13)),S13&lt;&gt;"Sí",LEFT(U13,8)&lt;&gt;"Sin ruta"),"REVISAR","OK")</f>
        <v>OK</v>
      </c>
      <c r="AL13" t="str">
        <f>IF(OR(AND(E13="Sin evaluación",I13&lt;&gt;""),AND(E13="Por aprobar",I13&lt;&gt;"Pendiente"),AND(OR(E13="Aprobado",E13="Activo",E13="Inactivo"),I13&lt;&gt;"Aprobado"),AND(E13="Rechazado",I13&lt;&gt;"Rechazado")),"REVISAR","OK")</f>
        <v>OK</v>
      </c>
      <c r="AM13" t="str">
        <f>IF(E13="Inactivo",IF(N(AE13)&gt;28,"OK","REVISAR"),IF(E13="Activo",IF(N(AE13)&lt;=28,"OK","REVISAR"),"OK"))</f>
        <v>OK</v>
      </c>
      <c r="AN13" t="str">
        <f>IF(AD13="","OK",IF(OR(AND(INDEX(Pacientes!$AO:$AO,MATCH(A13,Pacientes!$A:$A,0))="Alta",ISNUMBER(SEARCH("app",AD13))),AND(INDEX(Pacientes!$AO:$AO,MATCH(A13,Pacientes!$A:$A,0))="Media",ISNUMBER(SEARCH("WhatsApp",AD13))),AND(INDEX(Pacientes!$AO:$AO,MATCH(A13,Pacientes!$A:$A,0))="Baja",OR(ISNUMBER(SEARCH("Llamada",AD13)),ISNUMBER(SEARCH("Revisita",AD13))))),"OK","REVISAR"))</f>
        <v>OK</v>
      </c>
    </row>
    <row r="14" spans="1:40" x14ac:dyDescent="0.25">
      <c r="A14" t="s">
        <v>377</v>
      </c>
      <c r="B14" t="str">
        <f>INDEX(Pacientes!$D:$D,MATCH(A14,Pacientes!$A:$A,0))</f>
        <v>Neil</v>
      </c>
      <c r="C14" t="str">
        <f>INDEX(Pacientes!$N:$N,MATCH(A14,Pacientes!$A:$A,0))</f>
        <v>BAR</v>
      </c>
      <c r="D14" t="str">
        <f>INDEX(Pacientes!$AS:$AS,MATCH(A14,Pacientes!$A:$A,0))&amp;""</f>
        <v>P13</v>
      </c>
      <c r="E14" s="32" t="s">
        <v>114</v>
      </c>
      <c r="F14" s="29"/>
      <c r="G14" s="29">
        <v>46302</v>
      </c>
      <c r="H14">
        <v>35</v>
      </c>
      <c r="I14" t="s">
        <v>546</v>
      </c>
      <c r="J14" s="29"/>
      <c r="K14" t="s">
        <v>3</v>
      </c>
      <c r="L14" s="2" t="s">
        <v>3</v>
      </c>
      <c r="M14" t="s">
        <v>558</v>
      </c>
      <c r="N14" s="2" t="s">
        <v>562</v>
      </c>
      <c r="O14" s="34">
        <v>46302.444444444445</v>
      </c>
      <c r="P14" t="s">
        <v>229</v>
      </c>
      <c r="Q14" t="s">
        <v>291</v>
      </c>
      <c r="R14" t="s">
        <v>291</v>
      </c>
      <c r="S14" t="s">
        <v>291</v>
      </c>
      <c r="T14" t="s">
        <v>291</v>
      </c>
      <c r="U14" s="2" t="s">
        <v>112</v>
      </c>
      <c r="V14">
        <v>6</v>
      </c>
      <c r="W14">
        <v>12</v>
      </c>
      <c r="X14" t="s">
        <v>547</v>
      </c>
      <c r="Y14">
        <v>4</v>
      </c>
      <c r="Z14" s="2" t="s">
        <v>548</v>
      </c>
      <c r="AA14" t="s">
        <v>552</v>
      </c>
      <c r="AB14" t="s">
        <v>537</v>
      </c>
      <c r="AC14" s="29"/>
      <c r="AD14" t="s">
        <v>3</v>
      </c>
      <c r="AE14" t="str">
        <f>IF(AC14="","",DATE(2026,10,8)-AC14)</f>
        <v/>
      </c>
      <c r="AF14" t="str">
        <f>IF(AE14="","",IF(AE14&gt;=14,"Sí","No"))</f>
        <v/>
      </c>
      <c r="AG14" t="s">
        <v>3</v>
      </c>
      <c r="AH14" t="s">
        <v>286</v>
      </c>
      <c r="AI14" s="2" t="s">
        <v>561</v>
      </c>
      <c r="AJ14" t="str">
        <f>IF(AND(N(INDEX(Pacientes!$AE:$AE,MATCH(A14,Pacientes!$A:$A,0)))&gt;0,E14&lt;&gt;"Crisis"),"REVISAR","OK")</f>
        <v>OK</v>
      </c>
      <c r="AK14" t="str">
        <f>IF(AND(ISNUMBER(SEARCH("Manilla",U14)),S14&lt;&gt;"Sí",LEFT(U14,8)&lt;&gt;"Sin ruta"),"REVISAR","OK")</f>
        <v>OK</v>
      </c>
      <c r="AL14" t="str">
        <f>IF(OR(AND(E14="Sin evaluación",I14&lt;&gt;""),AND(E14="Por aprobar",I14&lt;&gt;"Pendiente"),AND(OR(E14="Aprobado",E14="Activo",E14="Inactivo"),I14&lt;&gt;"Aprobado"),AND(E14="Rechazado",I14&lt;&gt;"Rechazado")),"REVISAR","OK")</f>
        <v>OK</v>
      </c>
      <c r="AM14" t="str">
        <f>IF(E14="Inactivo",IF(N(AE14)&gt;28,"OK","REVISAR"),IF(E14="Activo",IF(N(AE14)&lt;=28,"OK","REVISAR"),"OK"))</f>
        <v>OK</v>
      </c>
      <c r="AN14" t="str">
        <f>IF(AD14="","OK",IF(OR(AND(INDEX(Pacientes!$AO:$AO,MATCH(A14,Pacientes!$A:$A,0))="Alta",ISNUMBER(SEARCH("app",AD14))),AND(INDEX(Pacientes!$AO:$AO,MATCH(A14,Pacientes!$A:$A,0))="Media",ISNUMBER(SEARCH("WhatsApp",AD14))),AND(INDEX(Pacientes!$AO:$AO,MATCH(A14,Pacientes!$A:$A,0))="Baja",OR(ISNUMBER(SEARCH("Llamada",AD14)),ISNUMBER(SEARCH("Revisita",AD14))))),"OK","REVISAR"))</f>
        <v>OK</v>
      </c>
    </row>
    <row r="15" spans="1:40" x14ac:dyDescent="0.25">
      <c r="A15" t="s">
        <v>382</v>
      </c>
      <c r="B15" t="str">
        <f>INDEX(Pacientes!$D:$D,MATCH(A15,Pacientes!$A:$A,0))</f>
        <v>Mariluz</v>
      </c>
      <c r="C15" t="str">
        <f>INDEX(Pacientes!$N:$N,MATCH(A15,Pacientes!$A:$A,0))</f>
        <v>BAR</v>
      </c>
      <c r="D15" t="str">
        <f>INDEX(Pacientes!$AS:$AS,MATCH(A15,Pacientes!$A:$A,0))&amp;""</f>
        <v>P02</v>
      </c>
      <c r="E15" s="25" t="s">
        <v>60</v>
      </c>
      <c r="F15" s="29"/>
      <c r="G15" s="29">
        <v>46282</v>
      </c>
      <c r="H15">
        <v>33</v>
      </c>
      <c r="I15" t="s">
        <v>99</v>
      </c>
      <c r="J15" s="29">
        <v>46283</v>
      </c>
      <c r="K15" t="s">
        <v>229</v>
      </c>
      <c r="L15" s="2" t="s">
        <v>3</v>
      </c>
      <c r="M15" t="s">
        <v>3</v>
      </c>
      <c r="N15" s="2" t="s">
        <v>3</v>
      </c>
      <c r="O15" s="34"/>
      <c r="P15" t="s">
        <v>3</v>
      </c>
      <c r="Q15" t="s">
        <v>291</v>
      </c>
      <c r="R15" t="s">
        <v>291</v>
      </c>
      <c r="S15" t="s">
        <v>533</v>
      </c>
      <c r="T15" t="s">
        <v>286</v>
      </c>
      <c r="U15" s="2" t="s">
        <v>57</v>
      </c>
      <c r="V15">
        <v>5</v>
      </c>
      <c r="W15">
        <v>3</v>
      </c>
      <c r="X15" t="s">
        <v>534</v>
      </c>
      <c r="Y15">
        <v>4</v>
      </c>
      <c r="Z15" s="2" t="s">
        <v>535</v>
      </c>
      <c r="AA15" t="s">
        <v>542</v>
      </c>
      <c r="AB15" t="s">
        <v>543</v>
      </c>
      <c r="AC15" s="29">
        <v>46302</v>
      </c>
      <c r="AD15" t="s">
        <v>544</v>
      </c>
      <c r="AE15">
        <f>IF(AC15="","",DATE(2026,10,8)-AC15)</f>
        <v>1</v>
      </c>
      <c r="AF15" t="str">
        <f>IF(AE15="","",IF(AE15&gt;=14,"Sí","No"))</f>
        <v>No</v>
      </c>
      <c r="AG15">
        <v>88</v>
      </c>
      <c r="AH15" t="s">
        <v>291</v>
      </c>
      <c r="AI15" s="2" t="s">
        <v>545</v>
      </c>
      <c r="AJ15" t="str">
        <f>IF(AND(N(INDEX(Pacientes!$AE:$AE,MATCH(A15,Pacientes!$A:$A,0)))&gt;0,E15&lt;&gt;"Crisis"),"REVISAR","OK")</f>
        <v>OK</v>
      </c>
      <c r="AK15" t="str">
        <f>IF(AND(ISNUMBER(SEARCH("Manilla",U15)),S15&lt;&gt;"Sí",LEFT(U15,8)&lt;&gt;"Sin ruta"),"REVISAR","OK")</f>
        <v>OK</v>
      </c>
      <c r="AL15" t="str">
        <f>IF(OR(AND(E15="Sin evaluación",I15&lt;&gt;""),AND(E15="Por aprobar",I15&lt;&gt;"Pendiente"),AND(OR(E15="Aprobado",E15="Activo",E15="Inactivo"),I15&lt;&gt;"Aprobado"),AND(E15="Rechazado",I15&lt;&gt;"Rechazado")),"REVISAR","OK")</f>
        <v>OK</v>
      </c>
      <c r="AM15" t="str">
        <f>IF(E15="Inactivo",IF(N(AE15)&gt;28,"OK","REVISAR"),IF(E15="Activo",IF(N(AE15)&lt;=28,"OK","REVISAR"),"OK"))</f>
        <v>OK</v>
      </c>
      <c r="AN15" t="str">
        <f>IF(AD15="","OK",IF(OR(AND(INDEX(Pacientes!$AO:$AO,MATCH(A15,Pacientes!$A:$A,0))="Alta",ISNUMBER(SEARCH("app",AD15))),AND(INDEX(Pacientes!$AO:$AO,MATCH(A15,Pacientes!$A:$A,0))="Media",ISNUMBER(SEARCH("WhatsApp",AD15))),AND(INDEX(Pacientes!$AO:$AO,MATCH(A15,Pacientes!$A:$A,0))="Baja",OR(ISNUMBER(SEARCH("Llamada",AD15)),ISNUMBER(SEARCH("Revisita",AD15))))),"OK","REVISAR"))</f>
        <v>OK</v>
      </c>
    </row>
    <row r="16" spans="1:40" x14ac:dyDescent="0.25">
      <c r="A16" t="s">
        <v>387</v>
      </c>
      <c r="B16" t="str">
        <f>INDEX(Pacientes!$D:$D,MATCH(A16,Pacientes!$A:$A,0))</f>
        <v>Andreina</v>
      </c>
      <c r="C16" t="str">
        <f>INDEX(Pacientes!$N:$N,MATCH(A16,Pacientes!$A:$A,0))</f>
        <v>BAR</v>
      </c>
      <c r="D16" t="str">
        <f>INDEX(Pacientes!$AS:$AS,MATCH(A16,Pacientes!$A:$A,0))&amp;""</f>
        <v>P06</v>
      </c>
      <c r="E16" s="9" t="s">
        <v>68</v>
      </c>
      <c r="F16" s="29"/>
      <c r="G16" s="29">
        <v>46301</v>
      </c>
      <c r="H16">
        <v>31</v>
      </c>
      <c r="I16" t="s">
        <v>546</v>
      </c>
      <c r="J16" s="29"/>
      <c r="K16" t="s">
        <v>3</v>
      </c>
      <c r="L16" s="2" t="s">
        <v>3</v>
      </c>
      <c r="M16" t="s">
        <v>3</v>
      </c>
      <c r="N16" s="2" t="s">
        <v>3</v>
      </c>
      <c r="O16" s="34"/>
      <c r="P16" t="s">
        <v>3</v>
      </c>
      <c r="Q16" t="s">
        <v>291</v>
      </c>
      <c r="R16" t="s">
        <v>291</v>
      </c>
      <c r="S16" t="s">
        <v>533</v>
      </c>
      <c r="T16" t="s">
        <v>286</v>
      </c>
      <c r="U16" s="2" t="s">
        <v>78</v>
      </c>
      <c r="V16">
        <v>7</v>
      </c>
      <c r="W16">
        <v>3</v>
      </c>
      <c r="X16" t="s">
        <v>534</v>
      </c>
      <c r="Y16">
        <v>4</v>
      </c>
      <c r="Z16" s="2" t="s">
        <v>535</v>
      </c>
      <c r="AA16" t="s">
        <v>542</v>
      </c>
      <c r="AB16" t="s">
        <v>549</v>
      </c>
      <c r="AC16" s="29"/>
      <c r="AD16" t="s">
        <v>3</v>
      </c>
      <c r="AE16" t="str">
        <f>IF(AC16="","",DATE(2026,10,8)-AC16)</f>
        <v/>
      </c>
      <c r="AF16" t="str">
        <f>IF(AE16="","",IF(AE16&gt;=14,"Sí","No"))</f>
        <v/>
      </c>
      <c r="AG16" t="s">
        <v>3</v>
      </c>
      <c r="AH16" t="s">
        <v>286</v>
      </c>
      <c r="AI16" s="2" t="s">
        <v>550</v>
      </c>
      <c r="AJ16" t="str">
        <f>IF(AND(N(INDEX(Pacientes!$AE:$AE,MATCH(A16,Pacientes!$A:$A,0)))&gt;0,E16&lt;&gt;"Crisis"),"REVISAR","OK")</f>
        <v>OK</v>
      </c>
      <c r="AK16" t="str">
        <f>IF(AND(ISNUMBER(SEARCH("Manilla",U16)),S16&lt;&gt;"Sí",LEFT(U16,8)&lt;&gt;"Sin ruta"),"REVISAR","OK")</f>
        <v>OK</v>
      </c>
      <c r="AL16" t="str">
        <f>IF(OR(AND(E16="Sin evaluación",I16&lt;&gt;""),AND(E16="Por aprobar",I16&lt;&gt;"Pendiente"),AND(OR(E16="Aprobado",E16="Activo",E16="Inactivo"),I16&lt;&gt;"Aprobado"),AND(E16="Rechazado",I16&lt;&gt;"Rechazado")),"REVISAR","OK")</f>
        <v>OK</v>
      </c>
      <c r="AM16" t="str">
        <f>IF(E16="Inactivo",IF(N(AE16)&gt;28,"OK","REVISAR"),IF(E16="Activo",IF(N(AE16)&lt;=28,"OK","REVISAR"),"OK"))</f>
        <v>OK</v>
      </c>
      <c r="AN16" t="str">
        <f>IF(AD16="","OK",IF(OR(AND(INDEX(Pacientes!$AO:$AO,MATCH(A16,Pacientes!$A:$A,0))="Alta",ISNUMBER(SEARCH("app",AD16))),AND(INDEX(Pacientes!$AO:$AO,MATCH(A16,Pacientes!$A:$A,0))="Media",ISNUMBER(SEARCH("WhatsApp",AD16))),AND(INDEX(Pacientes!$AO:$AO,MATCH(A16,Pacientes!$A:$A,0))="Baja",OR(ISNUMBER(SEARCH("Llamada",AD16)),ISNUMBER(SEARCH("Revisita",AD16))))),"OK","REVISAR"))</f>
        <v>OK</v>
      </c>
    </row>
    <row r="17" spans="1:40" x14ac:dyDescent="0.25">
      <c r="A17" t="s">
        <v>392</v>
      </c>
      <c r="B17" t="str">
        <f>INDEX(Pacientes!$D:$D,MATCH(A17,Pacientes!$A:$A,0))</f>
        <v>Beatriz Elena Ramírez Coronado</v>
      </c>
      <c r="C17" t="str">
        <f>INDEX(Pacientes!$N:$N,MATCH(A17,Pacientes!$A:$A,0))</f>
        <v>BUC</v>
      </c>
      <c r="D17" t="str">
        <f>INDEX(Pacientes!$AS:$AS,MATCH(A17,Pacientes!$A:$A,0))&amp;""</f>
        <v/>
      </c>
      <c r="E17" s="33" t="s">
        <v>493</v>
      </c>
      <c r="F17" s="29">
        <v>46304</v>
      </c>
      <c r="G17" s="29"/>
      <c r="H17" t="s">
        <v>3</v>
      </c>
      <c r="I17" t="s">
        <v>3</v>
      </c>
      <c r="J17" s="29"/>
      <c r="K17" t="s">
        <v>3</v>
      </c>
      <c r="L17" s="2" t="s">
        <v>3</v>
      </c>
      <c r="M17" t="s">
        <v>3</v>
      </c>
      <c r="N17" s="2" t="s">
        <v>3</v>
      </c>
      <c r="O17" s="34"/>
      <c r="P17" t="s">
        <v>3</v>
      </c>
      <c r="Q17" t="s">
        <v>3</v>
      </c>
      <c r="R17" t="s">
        <v>3</v>
      </c>
      <c r="S17" t="s">
        <v>3</v>
      </c>
      <c r="T17" t="s">
        <v>3</v>
      </c>
      <c r="U17" s="2" t="s">
        <v>3</v>
      </c>
      <c r="V17" t="s">
        <v>3</v>
      </c>
      <c r="W17" t="s">
        <v>3</v>
      </c>
      <c r="X17" t="s">
        <v>3</v>
      </c>
      <c r="Y17" t="s">
        <v>3</v>
      </c>
      <c r="Z17" s="2" t="s">
        <v>3</v>
      </c>
      <c r="AA17" t="s">
        <v>3</v>
      </c>
      <c r="AB17" t="s">
        <v>3</v>
      </c>
      <c r="AC17" s="29"/>
      <c r="AD17" t="s">
        <v>3</v>
      </c>
      <c r="AE17" t="str">
        <f>IF(AC17="","",DATE(2026,10,8)-AC17)</f>
        <v/>
      </c>
      <c r="AF17" t="str">
        <f>IF(AE17="","",IF(AE17&gt;=14,"Sí","No"))</f>
        <v/>
      </c>
      <c r="AG17" t="s">
        <v>3</v>
      </c>
      <c r="AH17" t="s">
        <v>286</v>
      </c>
      <c r="AI17" s="2" t="s">
        <v>563</v>
      </c>
      <c r="AJ17" t="str">
        <f>IF(AND(N(INDEX(Pacientes!$AE:$AE,MATCH(A17,Pacientes!$A:$A,0)))&gt;0,E17&lt;&gt;"Crisis"),"REVISAR","OK")</f>
        <v>OK</v>
      </c>
      <c r="AK17" t="str">
        <f>IF(AND(ISNUMBER(SEARCH("Manilla",U17)),S17&lt;&gt;"Sí",LEFT(U17,8)&lt;&gt;"Sin ruta"),"REVISAR","OK")</f>
        <v>OK</v>
      </c>
      <c r="AL17" t="str">
        <f>IF(OR(AND(E17="Sin evaluación",I17&lt;&gt;""),AND(E17="Por aprobar",I17&lt;&gt;"Pendiente"),AND(OR(E17="Aprobado",E17="Activo",E17="Inactivo"),I17&lt;&gt;"Aprobado"),AND(E17="Rechazado",I17&lt;&gt;"Rechazado")),"REVISAR","OK")</f>
        <v>OK</v>
      </c>
      <c r="AM17" t="str">
        <f>IF(E17="Inactivo",IF(N(AE17)&gt;28,"OK","REVISAR"),IF(E17="Activo",IF(N(AE17)&lt;=28,"OK","REVISAR"),"OK"))</f>
        <v>OK</v>
      </c>
      <c r="AN17" t="str">
        <f>IF(AD17="","OK",IF(OR(AND(INDEX(Pacientes!$AO:$AO,MATCH(A17,Pacientes!$A:$A,0))="Alta",ISNUMBER(SEARCH("app",AD17))),AND(INDEX(Pacientes!$AO:$AO,MATCH(A17,Pacientes!$A:$A,0))="Media",ISNUMBER(SEARCH("WhatsApp",AD17))),AND(INDEX(Pacientes!$AO:$AO,MATCH(A17,Pacientes!$A:$A,0))="Baja",OR(ISNUMBER(SEARCH("Llamada",AD17)),ISNUMBER(SEARCH("Revisita",AD17))))),"OK","REVISAR"))</f>
        <v>OK</v>
      </c>
    </row>
    <row r="18" spans="1:40" x14ac:dyDescent="0.25">
      <c r="A18" t="s">
        <v>397</v>
      </c>
      <c r="B18" t="str">
        <f>INDEX(Pacientes!$D:$D,MATCH(A18,Pacientes!$A:$A,0))</f>
        <v>Tatiana</v>
      </c>
      <c r="C18" t="str">
        <f>INDEX(Pacientes!$N:$N,MATCH(A18,Pacientes!$A:$A,0))</f>
        <v>FLO</v>
      </c>
      <c r="D18" t="str">
        <f>INDEX(Pacientes!$AS:$AS,MATCH(A18,Pacientes!$A:$A,0))&amp;""</f>
        <v/>
      </c>
      <c r="E18" s="33" t="s">
        <v>493</v>
      </c>
      <c r="F18" s="29">
        <v>46304</v>
      </c>
      <c r="G18" s="29"/>
      <c r="H18" t="s">
        <v>3</v>
      </c>
      <c r="I18" t="s">
        <v>3</v>
      </c>
      <c r="J18" s="29"/>
      <c r="K18" t="s">
        <v>3</v>
      </c>
      <c r="L18" s="2" t="s">
        <v>3</v>
      </c>
      <c r="M18" t="s">
        <v>3</v>
      </c>
      <c r="N18" s="2" t="s">
        <v>3</v>
      </c>
      <c r="O18" s="34"/>
      <c r="P18" t="s">
        <v>3</v>
      </c>
      <c r="Q18" t="s">
        <v>3</v>
      </c>
      <c r="R18" t="s">
        <v>3</v>
      </c>
      <c r="S18" t="s">
        <v>3</v>
      </c>
      <c r="T18" t="s">
        <v>3</v>
      </c>
      <c r="U18" s="2" t="s">
        <v>3</v>
      </c>
      <c r="V18" t="s">
        <v>3</v>
      </c>
      <c r="W18" t="s">
        <v>3</v>
      </c>
      <c r="X18" t="s">
        <v>3</v>
      </c>
      <c r="Y18" t="s">
        <v>3</v>
      </c>
      <c r="Z18" s="2" t="s">
        <v>3</v>
      </c>
      <c r="AA18" t="s">
        <v>3</v>
      </c>
      <c r="AB18" t="s">
        <v>3</v>
      </c>
      <c r="AC18" s="29"/>
      <c r="AD18" t="s">
        <v>3</v>
      </c>
      <c r="AE18" t="str">
        <f>IF(AC18="","",DATE(2026,10,8)-AC18)</f>
        <v/>
      </c>
      <c r="AF18" t="str">
        <f>IF(AE18="","",IF(AE18&gt;=14,"Sí","No"))</f>
        <v/>
      </c>
      <c r="AG18" t="s">
        <v>3</v>
      </c>
      <c r="AH18" t="s">
        <v>286</v>
      </c>
      <c r="AI18" s="2" t="s">
        <v>563</v>
      </c>
      <c r="AJ18" t="str">
        <f>IF(AND(N(INDEX(Pacientes!$AE:$AE,MATCH(A18,Pacientes!$A:$A,0)))&gt;0,E18&lt;&gt;"Crisis"),"REVISAR","OK")</f>
        <v>OK</v>
      </c>
      <c r="AK18" t="str">
        <f>IF(AND(ISNUMBER(SEARCH("Manilla",U18)),S18&lt;&gt;"Sí",LEFT(U18,8)&lt;&gt;"Sin ruta"),"REVISAR","OK")</f>
        <v>OK</v>
      </c>
      <c r="AL18" t="str">
        <f>IF(OR(AND(E18="Sin evaluación",I18&lt;&gt;""),AND(E18="Por aprobar",I18&lt;&gt;"Pendiente"),AND(OR(E18="Aprobado",E18="Activo",E18="Inactivo"),I18&lt;&gt;"Aprobado"),AND(E18="Rechazado",I18&lt;&gt;"Rechazado")),"REVISAR","OK")</f>
        <v>OK</v>
      </c>
      <c r="AM18" t="str">
        <f>IF(E18="Inactivo",IF(N(AE18)&gt;28,"OK","REVISAR"),IF(E18="Activo",IF(N(AE18)&lt;=28,"OK","REVISAR"),"OK"))</f>
        <v>OK</v>
      </c>
      <c r="AN18" t="str">
        <f>IF(AD18="","OK",IF(OR(AND(INDEX(Pacientes!$AO:$AO,MATCH(A18,Pacientes!$A:$A,0))="Alta",ISNUMBER(SEARCH("app",AD18))),AND(INDEX(Pacientes!$AO:$AO,MATCH(A18,Pacientes!$A:$A,0))="Media",ISNUMBER(SEARCH("WhatsApp",AD18))),AND(INDEX(Pacientes!$AO:$AO,MATCH(A18,Pacientes!$A:$A,0))="Baja",OR(ISNUMBER(SEARCH("Llamada",AD18)),ISNUMBER(SEARCH("Revisita",AD18))))),"OK","REVISAR"))</f>
        <v>OK</v>
      </c>
    </row>
    <row r="19" spans="1:40" x14ac:dyDescent="0.25">
      <c r="A19" t="s">
        <v>402</v>
      </c>
      <c r="B19" t="str">
        <f>INDEX(Pacientes!$D:$D,MATCH(A19,Pacientes!$A:$A,0))</f>
        <v>Juli</v>
      </c>
      <c r="C19" t="str">
        <f>INDEX(Pacientes!$N:$N,MATCH(A19,Pacientes!$A:$A,0))</f>
        <v>BOG</v>
      </c>
      <c r="D19" t="str">
        <f>INDEX(Pacientes!$AS:$AS,MATCH(A19,Pacientes!$A:$A,0))&amp;""</f>
        <v/>
      </c>
      <c r="E19" s="33" t="s">
        <v>493</v>
      </c>
      <c r="F19" s="29">
        <v>46305</v>
      </c>
      <c r="G19" s="29"/>
      <c r="H19" t="s">
        <v>3</v>
      </c>
      <c r="I19" t="s">
        <v>3</v>
      </c>
      <c r="J19" s="29"/>
      <c r="K19" t="s">
        <v>3</v>
      </c>
      <c r="L19" s="2" t="s">
        <v>3</v>
      </c>
      <c r="M19" t="s">
        <v>3</v>
      </c>
      <c r="N19" s="2" t="s">
        <v>3</v>
      </c>
      <c r="O19" s="34"/>
      <c r="P19" t="s">
        <v>3</v>
      </c>
      <c r="Q19" t="s">
        <v>3</v>
      </c>
      <c r="R19" t="s">
        <v>3</v>
      </c>
      <c r="S19" t="s">
        <v>3</v>
      </c>
      <c r="T19" t="s">
        <v>3</v>
      </c>
      <c r="U19" s="2" t="s">
        <v>3</v>
      </c>
      <c r="V19" t="s">
        <v>3</v>
      </c>
      <c r="W19" t="s">
        <v>3</v>
      </c>
      <c r="X19" t="s">
        <v>3</v>
      </c>
      <c r="Y19" t="s">
        <v>3</v>
      </c>
      <c r="Z19" s="2" t="s">
        <v>3</v>
      </c>
      <c r="AA19" t="s">
        <v>3</v>
      </c>
      <c r="AB19" t="s">
        <v>3</v>
      </c>
      <c r="AC19" s="29"/>
      <c r="AD19" t="s">
        <v>3</v>
      </c>
      <c r="AE19" t="str">
        <f>IF(AC19="","",DATE(2026,10,8)-AC19)</f>
        <v/>
      </c>
      <c r="AF19" t="str">
        <f>IF(AE19="","",IF(AE19&gt;=14,"Sí","No"))</f>
        <v/>
      </c>
      <c r="AG19" t="s">
        <v>3</v>
      </c>
      <c r="AH19" t="s">
        <v>286</v>
      </c>
      <c r="AI19" s="2" t="s">
        <v>564</v>
      </c>
      <c r="AJ19" t="str">
        <f>IF(AND(N(INDEX(Pacientes!$AE:$AE,MATCH(A19,Pacientes!$A:$A,0)))&gt;0,E19&lt;&gt;"Crisis"),"REVISAR","OK")</f>
        <v>OK</v>
      </c>
      <c r="AK19" t="str">
        <f>IF(AND(ISNUMBER(SEARCH("Manilla",U19)),S19&lt;&gt;"Sí",LEFT(U19,8)&lt;&gt;"Sin ruta"),"REVISAR","OK")</f>
        <v>OK</v>
      </c>
      <c r="AL19" t="str">
        <f>IF(OR(AND(E19="Sin evaluación",I19&lt;&gt;""),AND(E19="Por aprobar",I19&lt;&gt;"Pendiente"),AND(OR(E19="Aprobado",E19="Activo",E19="Inactivo"),I19&lt;&gt;"Aprobado"),AND(E19="Rechazado",I19&lt;&gt;"Rechazado")),"REVISAR","OK")</f>
        <v>OK</v>
      </c>
      <c r="AM19" t="str">
        <f>IF(E19="Inactivo",IF(N(AE19)&gt;28,"OK","REVISAR"),IF(E19="Activo",IF(N(AE19)&lt;=28,"OK","REVISAR"),"OK"))</f>
        <v>OK</v>
      </c>
      <c r="AN19" t="str">
        <f>IF(AD19="","OK",IF(OR(AND(INDEX(Pacientes!$AO:$AO,MATCH(A19,Pacientes!$A:$A,0))="Alta",ISNUMBER(SEARCH("app",AD19))),AND(INDEX(Pacientes!$AO:$AO,MATCH(A19,Pacientes!$A:$A,0))="Media",ISNUMBER(SEARCH("WhatsApp",AD19))),AND(INDEX(Pacientes!$AO:$AO,MATCH(A19,Pacientes!$A:$A,0))="Baja",OR(ISNUMBER(SEARCH("Llamada",AD19)),ISNUMBER(SEARCH("Revisita",AD19))))),"OK","REVISAR"))</f>
        <v>OK</v>
      </c>
    </row>
    <row r="20" spans="1:40" x14ac:dyDescent="0.25">
      <c r="A20" t="s">
        <v>407</v>
      </c>
      <c r="B20" t="str">
        <f>INDEX(Pacientes!$D:$D,MATCH(A20,Pacientes!$A:$A,0))</f>
        <v>Stiven</v>
      </c>
      <c r="C20" t="str">
        <f>INDEX(Pacientes!$N:$N,MATCH(A20,Pacientes!$A:$A,0))</f>
        <v>CAL</v>
      </c>
      <c r="D20" t="str">
        <f>INDEX(Pacientes!$AS:$AS,MATCH(A20,Pacientes!$A:$A,0))&amp;""</f>
        <v/>
      </c>
      <c r="E20" s="33" t="s">
        <v>493</v>
      </c>
      <c r="F20" s="29">
        <v>46305</v>
      </c>
      <c r="G20" s="29"/>
      <c r="H20" t="s">
        <v>3</v>
      </c>
      <c r="I20" t="s">
        <v>3</v>
      </c>
      <c r="J20" s="29"/>
      <c r="K20" t="s">
        <v>3</v>
      </c>
      <c r="L20" s="2" t="s">
        <v>3</v>
      </c>
      <c r="M20" t="s">
        <v>3</v>
      </c>
      <c r="N20" s="2" t="s">
        <v>3</v>
      </c>
      <c r="O20" s="34"/>
      <c r="P20" t="s">
        <v>3</v>
      </c>
      <c r="Q20" t="s">
        <v>3</v>
      </c>
      <c r="R20" t="s">
        <v>3</v>
      </c>
      <c r="S20" t="s">
        <v>3</v>
      </c>
      <c r="T20" t="s">
        <v>3</v>
      </c>
      <c r="U20" s="2" t="s">
        <v>3</v>
      </c>
      <c r="V20" t="s">
        <v>3</v>
      </c>
      <c r="W20" t="s">
        <v>3</v>
      </c>
      <c r="X20" t="s">
        <v>3</v>
      </c>
      <c r="Y20" t="s">
        <v>3</v>
      </c>
      <c r="Z20" s="2" t="s">
        <v>3</v>
      </c>
      <c r="AA20" t="s">
        <v>3</v>
      </c>
      <c r="AB20" t="s">
        <v>3</v>
      </c>
      <c r="AC20" s="29"/>
      <c r="AD20" t="s">
        <v>3</v>
      </c>
      <c r="AE20" t="str">
        <f>IF(AC20="","",DATE(2026,10,8)-AC20)</f>
        <v/>
      </c>
      <c r="AF20" t="str">
        <f>IF(AE20="","",IF(AE20&gt;=14,"Sí","No"))</f>
        <v/>
      </c>
      <c r="AG20" t="s">
        <v>3</v>
      </c>
      <c r="AH20" t="s">
        <v>286</v>
      </c>
      <c r="AI20" s="2" t="s">
        <v>564</v>
      </c>
      <c r="AJ20" t="str">
        <f>IF(AND(N(INDEX(Pacientes!$AE:$AE,MATCH(A20,Pacientes!$A:$A,0)))&gt;0,E20&lt;&gt;"Crisis"),"REVISAR","OK")</f>
        <v>OK</v>
      </c>
      <c r="AK20" t="str">
        <f>IF(AND(ISNUMBER(SEARCH("Manilla",U20)),S20&lt;&gt;"Sí",LEFT(U20,8)&lt;&gt;"Sin ruta"),"REVISAR","OK")</f>
        <v>OK</v>
      </c>
      <c r="AL20" t="str">
        <f>IF(OR(AND(E20="Sin evaluación",I20&lt;&gt;""),AND(E20="Por aprobar",I20&lt;&gt;"Pendiente"),AND(OR(E20="Aprobado",E20="Activo",E20="Inactivo"),I20&lt;&gt;"Aprobado"),AND(E20="Rechazado",I20&lt;&gt;"Rechazado")),"REVISAR","OK")</f>
        <v>OK</v>
      </c>
      <c r="AM20" t="str">
        <f>IF(E20="Inactivo",IF(N(AE20)&gt;28,"OK","REVISAR"),IF(E20="Activo",IF(N(AE20)&lt;=28,"OK","REVISAR"),"OK"))</f>
        <v>OK</v>
      </c>
      <c r="AN20" t="str">
        <f>IF(AD20="","OK",IF(OR(AND(INDEX(Pacientes!$AO:$AO,MATCH(A20,Pacientes!$A:$A,0))="Alta",ISNUMBER(SEARCH("app",AD20))),AND(INDEX(Pacientes!$AO:$AO,MATCH(A20,Pacientes!$A:$A,0))="Media",ISNUMBER(SEARCH("WhatsApp",AD20))),AND(INDEX(Pacientes!$AO:$AO,MATCH(A20,Pacientes!$A:$A,0))="Baja",OR(ISNUMBER(SEARCH("Llamada",AD20)),ISNUMBER(SEARCH("Revisita",AD20))))),"OK","REVISAR"))</f>
        <v>OK</v>
      </c>
    </row>
    <row r="21" spans="1:40" x14ac:dyDescent="0.25">
      <c r="A21" t="s">
        <v>412</v>
      </c>
      <c r="B21" t="str">
        <f>INDEX(Pacientes!$D:$D,MATCH(A21,Pacientes!$A:$A,0))</f>
        <v>Esmy</v>
      </c>
      <c r="C21" t="str">
        <f>INDEX(Pacientes!$N:$N,MATCH(A21,Pacientes!$A:$A,0))</f>
        <v>BAR</v>
      </c>
      <c r="D21" t="str">
        <f>INDEX(Pacientes!$AS:$AS,MATCH(A21,Pacientes!$A:$A,0))&amp;""</f>
        <v/>
      </c>
      <c r="E21" s="33" t="s">
        <v>493</v>
      </c>
      <c r="F21" s="29">
        <v>46304</v>
      </c>
      <c r="G21" s="29"/>
      <c r="H21" t="s">
        <v>3</v>
      </c>
      <c r="I21" t="s">
        <v>3</v>
      </c>
      <c r="J21" s="29"/>
      <c r="K21" t="s">
        <v>3</v>
      </c>
      <c r="L21" s="2" t="s">
        <v>3</v>
      </c>
      <c r="M21" t="s">
        <v>3</v>
      </c>
      <c r="N21" s="2" t="s">
        <v>3</v>
      </c>
      <c r="O21" s="34"/>
      <c r="P21" t="s">
        <v>3</v>
      </c>
      <c r="Q21" t="s">
        <v>3</v>
      </c>
      <c r="R21" t="s">
        <v>3</v>
      </c>
      <c r="S21" t="s">
        <v>3</v>
      </c>
      <c r="T21" t="s">
        <v>3</v>
      </c>
      <c r="U21" s="2" t="s">
        <v>3</v>
      </c>
      <c r="V21" t="s">
        <v>3</v>
      </c>
      <c r="W21" t="s">
        <v>3</v>
      </c>
      <c r="X21" t="s">
        <v>3</v>
      </c>
      <c r="Y21" t="s">
        <v>3</v>
      </c>
      <c r="Z21" s="2" t="s">
        <v>3</v>
      </c>
      <c r="AA21" t="s">
        <v>3</v>
      </c>
      <c r="AB21" t="s">
        <v>3</v>
      </c>
      <c r="AC21" s="29"/>
      <c r="AD21" t="s">
        <v>3</v>
      </c>
      <c r="AE21" t="str">
        <f>IF(AC21="","",DATE(2026,10,8)-AC21)</f>
        <v/>
      </c>
      <c r="AF21" t="str">
        <f>IF(AE21="","",IF(AE21&gt;=14,"Sí","No"))</f>
        <v/>
      </c>
      <c r="AG21" t="s">
        <v>3</v>
      </c>
      <c r="AH21" t="s">
        <v>286</v>
      </c>
      <c r="AI21" s="2" t="s">
        <v>563</v>
      </c>
      <c r="AJ21" t="str">
        <f>IF(AND(N(INDEX(Pacientes!$AE:$AE,MATCH(A21,Pacientes!$A:$A,0)))&gt;0,E21&lt;&gt;"Crisis"),"REVISAR","OK")</f>
        <v>OK</v>
      </c>
      <c r="AK21" t="str">
        <f>IF(AND(ISNUMBER(SEARCH("Manilla",U21)),S21&lt;&gt;"Sí",LEFT(U21,8)&lt;&gt;"Sin ruta"),"REVISAR","OK")</f>
        <v>OK</v>
      </c>
      <c r="AL21" t="str">
        <f>IF(OR(AND(E21="Sin evaluación",I21&lt;&gt;""),AND(E21="Por aprobar",I21&lt;&gt;"Pendiente"),AND(OR(E21="Aprobado",E21="Activo",E21="Inactivo"),I21&lt;&gt;"Aprobado"),AND(E21="Rechazado",I21&lt;&gt;"Rechazado")),"REVISAR","OK")</f>
        <v>OK</v>
      </c>
      <c r="AM21" t="str">
        <f>IF(E21="Inactivo",IF(N(AE21)&gt;28,"OK","REVISAR"),IF(E21="Activo",IF(N(AE21)&lt;=28,"OK","REVISAR"),"OK"))</f>
        <v>OK</v>
      </c>
      <c r="AN21" t="str">
        <f>IF(AD21="","OK",IF(OR(AND(INDEX(Pacientes!$AO:$AO,MATCH(A21,Pacientes!$A:$A,0))="Alta",ISNUMBER(SEARCH("app",AD21))),AND(INDEX(Pacientes!$AO:$AO,MATCH(A21,Pacientes!$A:$A,0))="Media",ISNUMBER(SEARCH("WhatsApp",AD21))),AND(INDEX(Pacientes!$AO:$AO,MATCH(A21,Pacientes!$A:$A,0))="Baja",OR(ISNUMBER(SEARCH("Llamada",AD21)),ISNUMBER(SEARCH("Revisita",AD21))))),"OK","REVISAR"))</f>
        <v>OK</v>
      </c>
    </row>
  </sheetData>
  <autoFilter ref="A1:AN1"/>
  <conditionalFormatting sqref="AJ2:AN21">
    <cfRule type="containsText" dxfId="2" priority="1">
      <formula>NOT(ISERROR(SEARCH("REVISAR",AJ2)))</formula>
    </cfRule>
    <cfRule type="containsText" dxfId="3" priority="2">
      <formula>NOT(ISERROR(SEARCH("OK",AJ2)))</formula>
    </cfRule>
  </conditionalFormatting>
  <dataValidations count="4">
    <dataValidation type="list" sqref="E10:E21">
      <formula1>"Sin evaluación,Por aprobar,Aprobado,Rechazado,Activo,Inactivo,Crisis"</formula1>
    </dataValidation>
    <dataValidation type="list" sqref="E2:E21">
      <formula1>"Sin evaluación,Por aprobar,Aprobado,Rechazado,Activo,Inactivo,Crisis"</formula1>
    </dataValidation>
    <dataValidation type="list" allowBlank="1" sqref="I10:I21">
      <formula1>"Pendiente,Aprobado,Rechazado"</formula1>
    </dataValidation>
    <dataValidation type="list" allowBlank="1" sqref="I2:I21">
      <formula1>"Pendiente,Aprobado,Rechazado"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7" customWidth="1"/>
    <col min="4" max="4" width="22" style="2" customWidth="1"/>
    <col min="5" max="5" width="30" customWidth="1"/>
    <col min="6" max="6" width="24" customWidth="1"/>
    <col min="7" max="7" width="34" customWidth="1"/>
    <col min="8" max="8" width="10" customWidth="1"/>
  </cols>
  <sheetData>
    <row r="1" ht="32" customHeight="1" spans="1:8" x14ac:dyDescent="0.25">
      <c r="A1" s="5" t="s">
        <v>565</v>
      </c>
      <c r="B1" s="5" t="s">
        <v>566</v>
      </c>
      <c r="C1" s="5" t="s">
        <v>32</v>
      </c>
      <c r="D1" s="6" t="s">
        <v>567</v>
      </c>
      <c r="E1" s="5" t="s">
        <v>568</v>
      </c>
      <c r="F1" s="5" t="s">
        <v>569</v>
      </c>
      <c r="G1" s="5" t="s">
        <v>570</v>
      </c>
      <c r="H1" s="5" t="s">
        <v>571</v>
      </c>
    </row>
    <row r="2" spans="1:8" x14ac:dyDescent="0.25">
      <c r="A2" t="s">
        <v>316</v>
      </c>
      <c r="B2" t="s">
        <v>313</v>
      </c>
      <c r="C2" t="s">
        <v>44</v>
      </c>
      <c r="D2" s="2" t="s">
        <v>572</v>
      </c>
      <c r="E2" t="s">
        <v>538</v>
      </c>
      <c r="F2" t="s">
        <v>573</v>
      </c>
      <c r="G2" t="s">
        <v>238</v>
      </c>
      <c r="H2">
        <v>3</v>
      </c>
    </row>
    <row r="3" spans="1:8" x14ac:dyDescent="0.25">
      <c r="A3" t="s">
        <v>316</v>
      </c>
      <c r="B3" t="s">
        <v>313</v>
      </c>
      <c r="C3" t="s">
        <v>44</v>
      </c>
      <c r="D3" s="2" t="s">
        <v>572</v>
      </c>
      <c r="E3" t="s">
        <v>574</v>
      </c>
      <c r="F3" t="s">
        <v>575</v>
      </c>
      <c r="G3" t="s">
        <v>3</v>
      </c>
      <c r="H3">
        <v>3</v>
      </c>
    </row>
    <row r="4" spans="1:8" x14ac:dyDescent="0.25">
      <c r="A4" t="s">
        <v>316</v>
      </c>
      <c r="B4" t="s">
        <v>313</v>
      </c>
      <c r="C4" t="s">
        <v>44</v>
      </c>
      <c r="D4" s="2" t="s">
        <v>572</v>
      </c>
      <c r="E4" t="s">
        <v>551</v>
      </c>
      <c r="F4" t="s">
        <v>573</v>
      </c>
      <c r="G4" t="s">
        <v>576</v>
      </c>
      <c r="H4">
        <v>3</v>
      </c>
    </row>
    <row r="5" spans="1:8" x14ac:dyDescent="0.25">
      <c r="A5" t="s">
        <v>316</v>
      </c>
      <c r="B5" t="s">
        <v>313</v>
      </c>
      <c r="C5" t="s">
        <v>44</v>
      </c>
      <c r="D5" s="2" t="s">
        <v>572</v>
      </c>
      <c r="E5" t="s">
        <v>577</v>
      </c>
      <c r="F5" t="s">
        <v>573</v>
      </c>
      <c r="G5" t="s">
        <v>578</v>
      </c>
      <c r="H5">
        <v>3</v>
      </c>
    </row>
    <row r="6" spans="1:8" x14ac:dyDescent="0.25">
      <c r="A6" t="s">
        <v>316</v>
      </c>
      <c r="B6" t="s">
        <v>313</v>
      </c>
      <c r="C6" t="s">
        <v>44</v>
      </c>
      <c r="D6" s="2" t="s">
        <v>572</v>
      </c>
      <c r="E6" t="s">
        <v>41</v>
      </c>
      <c r="F6" t="s">
        <v>536</v>
      </c>
      <c r="G6" t="s">
        <v>537</v>
      </c>
      <c r="H6">
        <v>3</v>
      </c>
    </row>
    <row r="7" spans="1:8" x14ac:dyDescent="0.25">
      <c r="A7" t="s">
        <v>322</v>
      </c>
      <c r="B7" t="s">
        <v>319</v>
      </c>
      <c r="C7" t="s">
        <v>74</v>
      </c>
      <c r="D7" s="2" t="s">
        <v>572</v>
      </c>
      <c r="E7" t="s">
        <v>579</v>
      </c>
      <c r="F7" t="s">
        <v>580</v>
      </c>
      <c r="G7" t="s">
        <v>581</v>
      </c>
      <c r="H7">
        <v>3</v>
      </c>
    </row>
    <row r="8" spans="1:8" x14ac:dyDescent="0.25">
      <c r="A8" t="s">
        <v>322</v>
      </c>
      <c r="B8" t="s">
        <v>319</v>
      </c>
      <c r="C8" t="s">
        <v>74</v>
      </c>
      <c r="D8" s="2" t="s">
        <v>572</v>
      </c>
      <c r="E8" t="s">
        <v>582</v>
      </c>
      <c r="F8" t="s">
        <v>583</v>
      </c>
      <c r="G8" t="s">
        <v>3</v>
      </c>
      <c r="H8">
        <v>3</v>
      </c>
    </row>
    <row r="9" spans="1:8" x14ac:dyDescent="0.25">
      <c r="A9" t="s">
        <v>322</v>
      </c>
      <c r="B9" t="s">
        <v>319</v>
      </c>
      <c r="C9" t="s">
        <v>74</v>
      </c>
      <c r="D9" s="2" t="s">
        <v>572</v>
      </c>
      <c r="E9" t="s">
        <v>574</v>
      </c>
      <c r="F9" t="s">
        <v>584</v>
      </c>
      <c r="G9" t="s">
        <v>3</v>
      </c>
      <c r="H9">
        <v>3</v>
      </c>
    </row>
    <row r="10" spans="1:8" x14ac:dyDescent="0.25">
      <c r="A10" t="s">
        <v>322</v>
      </c>
      <c r="B10" t="s">
        <v>319</v>
      </c>
      <c r="C10" t="s">
        <v>74</v>
      </c>
      <c r="D10" s="2" t="s">
        <v>572</v>
      </c>
      <c r="E10" t="s">
        <v>551</v>
      </c>
      <c r="F10" t="s">
        <v>573</v>
      </c>
      <c r="G10" t="s">
        <v>576</v>
      </c>
      <c r="H10">
        <v>3</v>
      </c>
    </row>
    <row r="11" spans="1:8" x14ac:dyDescent="0.25">
      <c r="A11" t="s">
        <v>322</v>
      </c>
      <c r="B11" t="s">
        <v>319</v>
      </c>
      <c r="C11" t="s">
        <v>74</v>
      </c>
      <c r="D11" s="2" t="s">
        <v>572</v>
      </c>
      <c r="E11" t="s">
        <v>577</v>
      </c>
      <c r="F11" t="s">
        <v>573</v>
      </c>
      <c r="G11" t="s">
        <v>578</v>
      </c>
      <c r="H11">
        <v>3</v>
      </c>
    </row>
    <row r="12" spans="1:8" x14ac:dyDescent="0.25">
      <c r="A12" t="s">
        <v>322</v>
      </c>
      <c r="B12" t="s">
        <v>319</v>
      </c>
      <c r="C12" t="s">
        <v>74</v>
      </c>
      <c r="D12" s="2" t="s">
        <v>572</v>
      </c>
      <c r="E12" t="s">
        <v>41</v>
      </c>
      <c r="F12" t="s">
        <v>542</v>
      </c>
      <c r="G12" t="s">
        <v>543</v>
      </c>
      <c r="H12">
        <v>3</v>
      </c>
    </row>
    <row r="13" spans="1:8" x14ac:dyDescent="0.25">
      <c r="A13" t="s">
        <v>327</v>
      </c>
      <c r="B13" t="s">
        <v>324</v>
      </c>
      <c r="C13" t="s">
        <v>89</v>
      </c>
      <c r="D13" s="2" t="s">
        <v>572</v>
      </c>
      <c r="E13" t="s">
        <v>585</v>
      </c>
      <c r="F13" t="s">
        <v>586</v>
      </c>
      <c r="G13" t="s">
        <v>587</v>
      </c>
      <c r="H13">
        <v>6</v>
      </c>
    </row>
    <row r="14" spans="1:8" x14ac:dyDescent="0.25">
      <c r="A14" t="s">
        <v>327</v>
      </c>
      <c r="B14" t="s">
        <v>324</v>
      </c>
      <c r="C14" t="s">
        <v>89</v>
      </c>
      <c r="D14" s="2" t="s">
        <v>572</v>
      </c>
      <c r="E14" t="s">
        <v>588</v>
      </c>
      <c r="F14" t="s">
        <v>573</v>
      </c>
      <c r="G14" t="s">
        <v>589</v>
      </c>
      <c r="H14">
        <v>6</v>
      </c>
    </row>
    <row r="15" spans="1:8" x14ac:dyDescent="0.25">
      <c r="A15" t="s">
        <v>327</v>
      </c>
      <c r="B15" t="s">
        <v>324</v>
      </c>
      <c r="C15" t="s">
        <v>89</v>
      </c>
      <c r="D15" s="2" t="s">
        <v>572</v>
      </c>
      <c r="E15" t="s">
        <v>590</v>
      </c>
      <c r="F15" t="s">
        <v>591</v>
      </c>
      <c r="G15" t="s">
        <v>592</v>
      </c>
      <c r="H15">
        <v>6</v>
      </c>
    </row>
    <row r="16" spans="1:8" x14ac:dyDescent="0.25">
      <c r="A16" t="s">
        <v>327</v>
      </c>
      <c r="B16" t="s">
        <v>324</v>
      </c>
      <c r="C16" t="s">
        <v>89</v>
      </c>
      <c r="D16" s="2" t="s">
        <v>572</v>
      </c>
      <c r="E16" t="s">
        <v>579</v>
      </c>
      <c r="F16" t="s">
        <v>593</v>
      </c>
      <c r="G16" t="s">
        <v>581</v>
      </c>
      <c r="H16">
        <v>6</v>
      </c>
    </row>
    <row r="17" spans="1:8" x14ac:dyDescent="0.25">
      <c r="A17" t="s">
        <v>327</v>
      </c>
      <c r="B17" t="s">
        <v>324</v>
      </c>
      <c r="C17" t="s">
        <v>89</v>
      </c>
      <c r="D17" s="2" t="s">
        <v>572</v>
      </c>
      <c r="E17" t="s">
        <v>594</v>
      </c>
      <c r="F17" t="s">
        <v>595</v>
      </c>
      <c r="G17" t="s">
        <v>596</v>
      </c>
      <c r="H17">
        <v>6</v>
      </c>
    </row>
    <row r="18" spans="1:8" x14ac:dyDescent="0.25">
      <c r="A18" t="s">
        <v>327</v>
      </c>
      <c r="B18" t="s">
        <v>324</v>
      </c>
      <c r="C18" t="s">
        <v>89</v>
      </c>
      <c r="D18" s="2" t="s">
        <v>572</v>
      </c>
      <c r="E18" t="s">
        <v>582</v>
      </c>
      <c r="F18" t="s">
        <v>583</v>
      </c>
      <c r="G18" t="s">
        <v>3</v>
      </c>
      <c r="H18">
        <v>6</v>
      </c>
    </row>
    <row r="19" spans="1:8" x14ac:dyDescent="0.25">
      <c r="A19" t="s">
        <v>327</v>
      </c>
      <c r="B19" t="s">
        <v>324</v>
      </c>
      <c r="C19" t="s">
        <v>89</v>
      </c>
      <c r="D19" s="2" t="s">
        <v>572</v>
      </c>
      <c r="E19" t="s">
        <v>574</v>
      </c>
      <c r="F19" t="s">
        <v>584</v>
      </c>
      <c r="G19" t="s">
        <v>3</v>
      </c>
      <c r="H19">
        <v>6</v>
      </c>
    </row>
    <row r="20" spans="1:8" x14ac:dyDescent="0.25">
      <c r="A20" t="s">
        <v>327</v>
      </c>
      <c r="B20" t="s">
        <v>324</v>
      </c>
      <c r="C20" t="s">
        <v>89</v>
      </c>
      <c r="D20" s="2" t="s">
        <v>572</v>
      </c>
      <c r="E20" t="s">
        <v>597</v>
      </c>
      <c r="F20" t="s">
        <v>598</v>
      </c>
      <c r="G20" t="s">
        <v>599</v>
      </c>
      <c r="H20">
        <v>6</v>
      </c>
    </row>
    <row r="21" spans="1:8" x14ac:dyDescent="0.25">
      <c r="A21" t="s">
        <v>327</v>
      </c>
      <c r="B21" t="s">
        <v>324</v>
      </c>
      <c r="C21" t="s">
        <v>89</v>
      </c>
      <c r="D21" s="2" t="s">
        <v>572</v>
      </c>
      <c r="E21" t="s">
        <v>41</v>
      </c>
      <c r="F21" t="s">
        <v>536</v>
      </c>
      <c r="G21" t="s">
        <v>549</v>
      </c>
      <c r="H21">
        <v>6</v>
      </c>
    </row>
    <row r="22" spans="1:8" x14ac:dyDescent="0.25">
      <c r="A22" t="s">
        <v>332</v>
      </c>
      <c r="B22" t="s">
        <v>329</v>
      </c>
      <c r="C22" t="s">
        <v>69</v>
      </c>
      <c r="D22" s="2" t="s">
        <v>572</v>
      </c>
      <c r="E22" t="s">
        <v>538</v>
      </c>
      <c r="F22" t="s">
        <v>573</v>
      </c>
      <c r="G22" t="s">
        <v>238</v>
      </c>
      <c r="H22">
        <v>3</v>
      </c>
    </row>
    <row r="23" spans="1:8" x14ac:dyDescent="0.25">
      <c r="A23" t="s">
        <v>332</v>
      </c>
      <c r="B23" t="s">
        <v>329</v>
      </c>
      <c r="C23" t="s">
        <v>69</v>
      </c>
      <c r="D23" s="2" t="s">
        <v>572</v>
      </c>
      <c r="E23" t="s">
        <v>574</v>
      </c>
      <c r="F23" t="s">
        <v>575</v>
      </c>
      <c r="G23" t="s">
        <v>3</v>
      </c>
      <c r="H23">
        <v>3</v>
      </c>
    </row>
    <row r="24" spans="1:8" x14ac:dyDescent="0.25">
      <c r="A24" t="s">
        <v>332</v>
      </c>
      <c r="B24" t="s">
        <v>329</v>
      </c>
      <c r="C24" t="s">
        <v>69</v>
      </c>
      <c r="D24" s="2" t="s">
        <v>572</v>
      </c>
      <c r="E24" t="s">
        <v>551</v>
      </c>
      <c r="F24" t="s">
        <v>600</v>
      </c>
      <c r="G24" t="s">
        <v>576</v>
      </c>
      <c r="H24">
        <v>3</v>
      </c>
    </row>
    <row r="25" spans="1:8" x14ac:dyDescent="0.25">
      <c r="A25" t="s">
        <v>332</v>
      </c>
      <c r="B25" t="s">
        <v>329</v>
      </c>
      <c r="C25" t="s">
        <v>69</v>
      </c>
      <c r="D25" s="2" t="s">
        <v>572</v>
      </c>
      <c r="E25" t="s">
        <v>577</v>
      </c>
      <c r="F25" t="s">
        <v>573</v>
      </c>
      <c r="G25" t="s">
        <v>578</v>
      </c>
      <c r="H25">
        <v>3</v>
      </c>
    </row>
    <row r="26" spans="1:8" x14ac:dyDescent="0.25">
      <c r="A26" t="s">
        <v>332</v>
      </c>
      <c r="B26" t="s">
        <v>329</v>
      </c>
      <c r="C26" t="s">
        <v>69</v>
      </c>
      <c r="D26" s="2" t="s">
        <v>572</v>
      </c>
      <c r="E26" t="s">
        <v>41</v>
      </c>
      <c r="F26" t="s">
        <v>536</v>
      </c>
      <c r="G26" t="s">
        <v>537</v>
      </c>
      <c r="H26">
        <v>3</v>
      </c>
    </row>
    <row r="27" spans="1:8" x14ac:dyDescent="0.25">
      <c r="A27" t="s">
        <v>337</v>
      </c>
      <c r="B27" t="s">
        <v>334</v>
      </c>
      <c r="C27" t="s">
        <v>85</v>
      </c>
      <c r="D27" s="2" t="s">
        <v>572</v>
      </c>
      <c r="E27" t="s">
        <v>588</v>
      </c>
      <c r="F27" t="s">
        <v>573</v>
      </c>
      <c r="G27" t="s">
        <v>601</v>
      </c>
      <c r="H27">
        <v>6</v>
      </c>
    </row>
    <row r="28" spans="1:8" x14ac:dyDescent="0.25">
      <c r="A28" t="s">
        <v>337</v>
      </c>
      <c r="B28" t="s">
        <v>334</v>
      </c>
      <c r="C28" t="s">
        <v>85</v>
      </c>
      <c r="D28" s="2" t="s">
        <v>572</v>
      </c>
      <c r="E28" t="s">
        <v>579</v>
      </c>
      <c r="F28" t="s">
        <v>593</v>
      </c>
      <c r="G28" t="s">
        <v>581</v>
      </c>
      <c r="H28">
        <v>6</v>
      </c>
    </row>
    <row r="29" spans="1:8" x14ac:dyDescent="0.25">
      <c r="A29" t="s">
        <v>337</v>
      </c>
      <c r="B29" t="s">
        <v>334</v>
      </c>
      <c r="C29" t="s">
        <v>85</v>
      </c>
      <c r="D29" s="2" t="s">
        <v>572</v>
      </c>
      <c r="E29" t="s">
        <v>594</v>
      </c>
      <c r="F29" t="s">
        <v>595</v>
      </c>
      <c r="G29" t="s">
        <v>596</v>
      </c>
      <c r="H29">
        <v>6</v>
      </c>
    </row>
    <row r="30" spans="1:8" x14ac:dyDescent="0.25">
      <c r="A30" t="s">
        <v>337</v>
      </c>
      <c r="B30" t="s">
        <v>334</v>
      </c>
      <c r="C30" t="s">
        <v>85</v>
      </c>
      <c r="D30" s="2" t="s">
        <v>572</v>
      </c>
      <c r="E30" t="s">
        <v>582</v>
      </c>
      <c r="F30" t="s">
        <v>583</v>
      </c>
      <c r="G30" t="s">
        <v>3</v>
      </c>
      <c r="H30">
        <v>6</v>
      </c>
    </row>
    <row r="31" spans="1:8" x14ac:dyDescent="0.25">
      <c r="A31" t="s">
        <v>337</v>
      </c>
      <c r="B31" t="s">
        <v>334</v>
      </c>
      <c r="C31" t="s">
        <v>85</v>
      </c>
      <c r="D31" s="2" t="s">
        <v>572</v>
      </c>
      <c r="E31" t="s">
        <v>574</v>
      </c>
      <c r="F31" t="s">
        <v>584</v>
      </c>
      <c r="G31" t="s">
        <v>3</v>
      </c>
      <c r="H31">
        <v>6</v>
      </c>
    </row>
    <row r="32" spans="1:8" x14ac:dyDescent="0.25">
      <c r="A32" t="s">
        <v>337</v>
      </c>
      <c r="B32" t="s">
        <v>334</v>
      </c>
      <c r="C32" t="s">
        <v>85</v>
      </c>
      <c r="D32" s="2" t="s">
        <v>572</v>
      </c>
      <c r="E32" t="s">
        <v>597</v>
      </c>
      <c r="F32" t="s">
        <v>598</v>
      </c>
      <c r="G32" t="s">
        <v>599</v>
      </c>
      <c r="H32">
        <v>6</v>
      </c>
    </row>
    <row r="33" spans="1:8" x14ac:dyDescent="0.25">
      <c r="A33" t="s">
        <v>337</v>
      </c>
      <c r="B33" t="s">
        <v>334</v>
      </c>
      <c r="C33" t="s">
        <v>85</v>
      </c>
      <c r="D33" s="2" t="s">
        <v>572</v>
      </c>
      <c r="E33" t="s">
        <v>577</v>
      </c>
      <c r="F33" t="s">
        <v>602</v>
      </c>
      <c r="G33" t="s">
        <v>578</v>
      </c>
      <c r="H33">
        <v>6</v>
      </c>
    </row>
    <row r="34" spans="1:8" x14ac:dyDescent="0.25">
      <c r="A34" t="s">
        <v>337</v>
      </c>
      <c r="B34" t="s">
        <v>334</v>
      </c>
      <c r="C34" t="s">
        <v>85</v>
      </c>
      <c r="D34" s="2" t="s">
        <v>572</v>
      </c>
      <c r="E34" t="s">
        <v>41</v>
      </c>
      <c r="F34" t="s">
        <v>536</v>
      </c>
      <c r="G34" t="s">
        <v>543</v>
      </c>
      <c r="H34">
        <v>6</v>
      </c>
    </row>
    <row r="35" spans="1:8" x14ac:dyDescent="0.25">
      <c r="A35" t="s">
        <v>342</v>
      </c>
      <c r="B35" t="s">
        <v>339</v>
      </c>
      <c r="C35" t="s">
        <v>105</v>
      </c>
      <c r="D35" s="2" t="s">
        <v>572</v>
      </c>
      <c r="E35" t="s">
        <v>585</v>
      </c>
      <c r="F35" t="s">
        <v>586</v>
      </c>
      <c r="G35" t="s">
        <v>587</v>
      </c>
      <c r="H35">
        <v>12</v>
      </c>
    </row>
    <row r="36" spans="1:8" x14ac:dyDescent="0.25">
      <c r="A36" t="s">
        <v>342</v>
      </c>
      <c r="B36" t="s">
        <v>339</v>
      </c>
      <c r="C36" t="s">
        <v>105</v>
      </c>
      <c r="D36" s="2" t="s">
        <v>572</v>
      </c>
      <c r="E36" t="s">
        <v>588</v>
      </c>
      <c r="F36" t="s">
        <v>602</v>
      </c>
      <c r="G36" t="s">
        <v>589</v>
      </c>
      <c r="H36">
        <v>12</v>
      </c>
    </row>
    <row r="37" spans="1:8" x14ac:dyDescent="0.25">
      <c r="A37" t="s">
        <v>342</v>
      </c>
      <c r="B37" t="s">
        <v>339</v>
      </c>
      <c r="C37" t="s">
        <v>105</v>
      </c>
      <c r="D37" s="2" t="s">
        <v>572</v>
      </c>
      <c r="E37" t="s">
        <v>590</v>
      </c>
      <c r="F37" t="s">
        <v>591</v>
      </c>
      <c r="G37" t="s">
        <v>592</v>
      </c>
      <c r="H37">
        <v>12</v>
      </c>
    </row>
    <row r="38" spans="1:8" x14ac:dyDescent="0.25">
      <c r="A38" t="s">
        <v>342</v>
      </c>
      <c r="B38" t="s">
        <v>339</v>
      </c>
      <c r="C38" t="s">
        <v>105</v>
      </c>
      <c r="D38" s="2" t="s">
        <v>572</v>
      </c>
      <c r="E38" t="s">
        <v>579</v>
      </c>
      <c r="F38" t="s">
        <v>593</v>
      </c>
      <c r="G38" t="s">
        <v>581</v>
      </c>
      <c r="H38">
        <v>12</v>
      </c>
    </row>
    <row r="39" spans="1:8" x14ac:dyDescent="0.25">
      <c r="A39" t="s">
        <v>342</v>
      </c>
      <c r="B39" t="s">
        <v>339</v>
      </c>
      <c r="C39" t="s">
        <v>105</v>
      </c>
      <c r="D39" s="2" t="s">
        <v>572</v>
      </c>
      <c r="E39" t="s">
        <v>594</v>
      </c>
      <c r="F39" t="s">
        <v>603</v>
      </c>
      <c r="G39" t="s">
        <v>596</v>
      </c>
      <c r="H39">
        <v>12</v>
      </c>
    </row>
    <row r="40" spans="1:8" x14ac:dyDescent="0.25">
      <c r="A40" t="s">
        <v>342</v>
      </c>
      <c r="B40" t="s">
        <v>339</v>
      </c>
      <c r="C40" t="s">
        <v>105</v>
      </c>
      <c r="D40" s="2" t="s">
        <v>572</v>
      </c>
      <c r="E40" t="s">
        <v>582</v>
      </c>
      <c r="F40" t="s">
        <v>583</v>
      </c>
      <c r="G40" t="s">
        <v>3</v>
      </c>
      <c r="H40">
        <v>12</v>
      </c>
    </row>
    <row r="41" spans="1:8" x14ac:dyDescent="0.25">
      <c r="A41" t="s">
        <v>342</v>
      </c>
      <c r="B41" t="s">
        <v>339</v>
      </c>
      <c r="C41" t="s">
        <v>105</v>
      </c>
      <c r="D41" s="2" t="s">
        <v>572</v>
      </c>
      <c r="E41" t="s">
        <v>574</v>
      </c>
      <c r="F41" t="s">
        <v>584</v>
      </c>
      <c r="G41" t="s">
        <v>3</v>
      </c>
      <c r="H41">
        <v>12</v>
      </c>
    </row>
    <row r="42" spans="1:8" x14ac:dyDescent="0.25">
      <c r="A42" t="s">
        <v>342</v>
      </c>
      <c r="B42" t="s">
        <v>339</v>
      </c>
      <c r="C42" t="s">
        <v>105</v>
      </c>
      <c r="D42" s="2" t="s">
        <v>572</v>
      </c>
      <c r="E42" t="s">
        <v>551</v>
      </c>
      <c r="F42" t="s">
        <v>600</v>
      </c>
      <c r="G42" t="s">
        <v>576</v>
      </c>
      <c r="H42">
        <v>12</v>
      </c>
    </row>
    <row r="43" spans="1:8" x14ac:dyDescent="0.25">
      <c r="A43" t="s">
        <v>342</v>
      </c>
      <c r="B43" t="s">
        <v>339</v>
      </c>
      <c r="C43" t="s">
        <v>105</v>
      </c>
      <c r="D43" s="2" t="s">
        <v>572</v>
      </c>
      <c r="E43" t="s">
        <v>597</v>
      </c>
      <c r="F43" t="s">
        <v>598</v>
      </c>
      <c r="G43" t="s">
        <v>599</v>
      </c>
      <c r="H43">
        <v>12</v>
      </c>
    </row>
    <row r="44" spans="1:8" x14ac:dyDescent="0.25">
      <c r="A44" t="s">
        <v>342</v>
      </c>
      <c r="B44" t="s">
        <v>339</v>
      </c>
      <c r="C44" t="s">
        <v>105</v>
      </c>
      <c r="D44" s="2" t="s">
        <v>572</v>
      </c>
      <c r="E44" t="s">
        <v>41</v>
      </c>
      <c r="F44" t="s">
        <v>552</v>
      </c>
      <c r="G44" t="s">
        <v>549</v>
      </c>
      <c r="H44">
        <v>12</v>
      </c>
    </row>
    <row r="45" spans="1:8" x14ac:dyDescent="0.25">
      <c r="A45" t="s">
        <v>347</v>
      </c>
      <c r="B45" t="s">
        <v>344</v>
      </c>
      <c r="C45" t="s">
        <v>80</v>
      </c>
      <c r="D45" s="2" t="s">
        <v>572</v>
      </c>
      <c r="E45" t="s">
        <v>588</v>
      </c>
      <c r="F45" t="s">
        <v>573</v>
      </c>
      <c r="G45" t="s">
        <v>604</v>
      </c>
      <c r="H45">
        <v>6</v>
      </c>
    </row>
    <row r="46" spans="1:8" x14ac:dyDescent="0.25">
      <c r="A46" t="s">
        <v>347</v>
      </c>
      <c r="B46" t="s">
        <v>344</v>
      </c>
      <c r="C46" t="s">
        <v>80</v>
      </c>
      <c r="D46" s="2" t="s">
        <v>572</v>
      </c>
      <c r="E46" t="s">
        <v>538</v>
      </c>
      <c r="F46" t="s">
        <v>605</v>
      </c>
      <c r="G46" t="s">
        <v>238</v>
      </c>
      <c r="H46">
        <v>6</v>
      </c>
    </row>
    <row r="47" spans="1:8" x14ac:dyDescent="0.25">
      <c r="A47" t="s">
        <v>347</v>
      </c>
      <c r="B47" t="s">
        <v>344</v>
      </c>
      <c r="C47" t="s">
        <v>80</v>
      </c>
      <c r="D47" s="2" t="s">
        <v>572</v>
      </c>
      <c r="E47" t="s">
        <v>594</v>
      </c>
      <c r="F47" t="s">
        <v>595</v>
      </c>
      <c r="G47" t="s">
        <v>596</v>
      </c>
      <c r="H47">
        <v>6</v>
      </c>
    </row>
    <row r="48" spans="1:8" x14ac:dyDescent="0.25">
      <c r="A48" t="s">
        <v>347</v>
      </c>
      <c r="B48" t="s">
        <v>344</v>
      </c>
      <c r="C48" t="s">
        <v>80</v>
      </c>
      <c r="D48" s="2" t="s">
        <v>572</v>
      </c>
      <c r="E48" t="s">
        <v>574</v>
      </c>
      <c r="F48" t="s">
        <v>575</v>
      </c>
      <c r="G48" t="s">
        <v>3</v>
      </c>
      <c r="H48">
        <v>6</v>
      </c>
    </row>
    <row r="49" spans="1:8" x14ac:dyDescent="0.25">
      <c r="A49" t="s">
        <v>347</v>
      </c>
      <c r="B49" t="s">
        <v>344</v>
      </c>
      <c r="C49" t="s">
        <v>80</v>
      </c>
      <c r="D49" s="2" t="s">
        <v>572</v>
      </c>
      <c r="E49" t="s">
        <v>551</v>
      </c>
      <c r="F49" t="s">
        <v>600</v>
      </c>
      <c r="G49" t="s">
        <v>576</v>
      </c>
      <c r="H49">
        <v>6</v>
      </c>
    </row>
    <row r="50" spans="1:8" x14ac:dyDescent="0.25">
      <c r="A50" t="s">
        <v>347</v>
      </c>
      <c r="B50" t="s">
        <v>344</v>
      </c>
      <c r="C50" t="s">
        <v>80</v>
      </c>
      <c r="D50" s="2" t="s">
        <v>572</v>
      </c>
      <c r="E50" t="s">
        <v>597</v>
      </c>
      <c r="F50" t="s">
        <v>598</v>
      </c>
      <c r="G50" t="s">
        <v>599</v>
      </c>
      <c r="H50">
        <v>6</v>
      </c>
    </row>
    <row r="51" spans="1:8" x14ac:dyDescent="0.25">
      <c r="A51" t="s">
        <v>347</v>
      </c>
      <c r="B51" t="s">
        <v>344</v>
      </c>
      <c r="C51" t="s">
        <v>80</v>
      </c>
      <c r="D51" s="2" t="s">
        <v>572</v>
      </c>
      <c r="E51" t="s">
        <v>577</v>
      </c>
      <c r="F51" t="s">
        <v>602</v>
      </c>
      <c r="G51" t="s">
        <v>578</v>
      </c>
      <c r="H51">
        <v>6</v>
      </c>
    </row>
    <row r="52" spans="1:8" x14ac:dyDescent="0.25">
      <c r="A52" t="s">
        <v>347</v>
      </c>
      <c r="B52" t="s">
        <v>344</v>
      </c>
      <c r="C52" t="s">
        <v>80</v>
      </c>
      <c r="D52" s="2" t="s">
        <v>572</v>
      </c>
      <c r="E52" t="s">
        <v>41</v>
      </c>
      <c r="F52" t="s">
        <v>536</v>
      </c>
      <c r="G52" t="s">
        <v>537</v>
      </c>
      <c r="H52">
        <v>6</v>
      </c>
    </row>
    <row r="53" spans="1:8" x14ac:dyDescent="0.25">
      <c r="A53" t="s">
        <v>352</v>
      </c>
      <c r="B53" t="s">
        <v>349</v>
      </c>
      <c r="C53" t="s">
        <v>100</v>
      </c>
      <c r="D53" s="2" t="s">
        <v>606</v>
      </c>
      <c r="E53" t="s">
        <v>588</v>
      </c>
      <c r="F53" t="s">
        <v>602</v>
      </c>
      <c r="G53" t="s">
        <v>601</v>
      </c>
      <c r="H53">
        <v>12</v>
      </c>
    </row>
    <row r="54" spans="1:8" x14ac:dyDescent="0.25">
      <c r="A54" t="s">
        <v>352</v>
      </c>
      <c r="B54" t="s">
        <v>349</v>
      </c>
      <c r="C54" t="s">
        <v>100</v>
      </c>
      <c r="D54" s="2" t="s">
        <v>606</v>
      </c>
      <c r="E54" t="s">
        <v>579</v>
      </c>
      <c r="F54" t="s">
        <v>593</v>
      </c>
      <c r="G54" t="s">
        <v>581</v>
      </c>
      <c r="H54">
        <v>12</v>
      </c>
    </row>
    <row r="55" spans="1:8" x14ac:dyDescent="0.25">
      <c r="A55" t="s">
        <v>352</v>
      </c>
      <c r="B55" t="s">
        <v>349</v>
      </c>
      <c r="C55" t="s">
        <v>100</v>
      </c>
      <c r="D55" s="2" t="s">
        <v>606</v>
      </c>
      <c r="E55" t="s">
        <v>594</v>
      </c>
      <c r="F55" t="s">
        <v>603</v>
      </c>
      <c r="G55" t="s">
        <v>596</v>
      </c>
      <c r="H55">
        <v>12</v>
      </c>
    </row>
    <row r="56" spans="1:8" x14ac:dyDescent="0.25">
      <c r="A56" t="s">
        <v>352</v>
      </c>
      <c r="B56" t="s">
        <v>349</v>
      </c>
      <c r="C56" t="s">
        <v>100</v>
      </c>
      <c r="D56" s="2" t="s">
        <v>606</v>
      </c>
      <c r="E56" t="s">
        <v>582</v>
      </c>
      <c r="F56" t="s">
        <v>583</v>
      </c>
      <c r="G56" t="s">
        <v>3</v>
      </c>
      <c r="H56">
        <v>12</v>
      </c>
    </row>
    <row r="57" spans="1:8" x14ac:dyDescent="0.25">
      <c r="A57" t="s">
        <v>352</v>
      </c>
      <c r="B57" t="s">
        <v>349</v>
      </c>
      <c r="C57" t="s">
        <v>100</v>
      </c>
      <c r="D57" s="2" t="s">
        <v>606</v>
      </c>
      <c r="E57" t="s">
        <v>574</v>
      </c>
      <c r="F57" t="s">
        <v>584</v>
      </c>
      <c r="G57" t="s">
        <v>3</v>
      </c>
      <c r="H57">
        <v>12</v>
      </c>
    </row>
    <row r="58" spans="1:8" x14ac:dyDescent="0.25">
      <c r="A58" t="s">
        <v>352</v>
      </c>
      <c r="B58" t="s">
        <v>349</v>
      </c>
      <c r="C58" t="s">
        <v>100</v>
      </c>
      <c r="D58" s="2" t="s">
        <v>606</v>
      </c>
      <c r="E58" t="s">
        <v>551</v>
      </c>
      <c r="F58" t="s">
        <v>600</v>
      </c>
      <c r="G58" t="s">
        <v>576</v>
      </c>
      <c r="H58">
        <v>12</v>
      </c>
    </row>
    <row r="59" spans="1:8" x14ac:dyDescent="0.25">
      <c r="A59" t="s">
        <v>352</v>
      </c>
      <c r="B59" t="s">
        <v>349</v>
      </c>
      <c r="C59" t="s">
        <v>100</v>
      </c>
      <c r="D59" s="2" t="s">
        <v>606</v>
      </c>
      <c r="E59" t="s">
        <v>597</v>
      </c>
      <c r="F59" t="s">
        <v>598</v>
      </c>
      <c r="G59" t="s">
        <v>599</v>
      </c>
      <c r="H59">
        <v>12</v>
      </c>
    </row>
    <row r="60" spans="1:8" x14ac:dyDescent="0.25">
      <c r="A60" t="s">
        <v>352</v>
      </c>
      <c r="B60" t="s">
        <v>349</v>
      </c>
      <c r="C60" t="s">
        <v>100</v>
      </c>
      <c r="D60" s="2" t="s">
        <v>606</v>
      </c>
      <c r="E60" t="s">
        <v>577</v>
      </c>
      <c r="F60" t="s">
        <v>602</v>
      </c>
      <c r="G60" t="s">
        <v>578</v>
      </c>
      <c r="H60">
        <v>12</v>
      </c>
    </row>
    <row r="61" spans="1:8" x14ac:dyDescent="0.25">
      <c r="A61" t="s">
        <v>352</v>
      </c>
      <c r="B61" t="s">
        <v>349</v>
      </c>
      <c r="C61" t="s">
        <v>100</v>
      </c>
      <c r="D61" s="2" t="s">
        <v>606</v>
      </c>
      <c r="E61" t="s">
        <v>41</v>
      </c>
      <c r="F61" t="s">
        <v>552</v>
      </c>
      <c r="G61" t="s">
        <v>543</v>
      </c>
      <c r="H61">
        <v>12</v>
      </c>
    </row>
    <row r="62" spans="1:8" x14ac:dyDescent="0.25">
      <c r="A62" t="s">
        <v>357</v>
      </c>
      <c r="B62" t="s">
        <v>354</v>
      </c>
      <c r="C62" t="s">
        <v>118</v>
      </c>
      <c r="D62" s="2" t="s">
        <v>572</v>
      </c>
      <c r="E62" t="s">
        <v>585</v>
      </c>
      <c r="F62" t="s">
        <v>586</v>
      </c>
      <c r="G62" t="s">
        <v>587</v>
      </c>
      <c r="H62">
        <v>12</v>
      </c>
    </row>
    <row r="63" spans="1:8" x14ac:dyDescent="0.25">
      <c r="A63" t="s">
        <v>357</v>
      </c>
      <c r="B63" t="s">
        <v>354</v>
      </c>
      <c r="C63" t="s">
        <v>118</v>
      </c>
      <c r="D63" s="2" t="s">
        <v>572</v>
      </c>
      <c r="E63" t="s">
        <v>588</v>
      </c>
      <c r="F63" t="s">
        <v>605</v>
      </c>
      <c r="G63" t="s">
        <v>589</v>
      </c>
      <c r="H63">
        <v>12</v>
      </c>
    </row>
    <row r="64" spans="1:8" x14ac:dyDescent="0.25">
      <c r="A64" t="s">
        <v>357</v>
      </c>
      <c r="B64" t="s">
        <v>354</v>
      </c>
      <c r="C64" t="s">
        <v>118</v>
      </c>
      <c r="D64" s="2" t="s">
        <v>572</v>
      </c>
      <c r="E64" t="s">
        <v>579</v>
      </c>
      <c r="F64" t="s">
        <v>593</v>
      </c>
      <c r="G64" t="s">
        <v>581</v>
      </c>
      <c r="H64">
        <v>12</v>
      </c>
    </row>
    <row r="65" spans="1:8" x14ac:dyDescent="0.25">
      <c r="A65" t="s">
        <v>357</v>
      </c>
      <c r="B65" t="s">
        <v>354</v>
      </c>
      <c r="C65" t="s">
        <v>118</v>
      </c>
      <c r="D65" s="2" t="s">
        <v>572</v>
      </c>
      <c r="E65" t="s">
        <v>594</v>
      </c>
      <c r="F65" t="s">
        <v>603</v>
      </c>
      <c r="G65" t="s">
        <v>596</v>
      </c>
      <c r="H65">
        <v>12</v>
      </c>
    </row>
    <row r="66" spans="1:8" x14ac:dyDescent="0.25">
      <c r="A66" t="s">
        <v>357</v>
      </c>
      <c r="B66" t="s">
        <v>354</v>
      </c>
      <c r="C66" t="s">
        <v>118</v>
      </c>
      <c r="D66" s="2" t="s">
        <v>572</v>
      </c>
      <c r="E66" t="s">
        <v>582</v>
      </c>
      <c r="F66" t="s">
        <v>583</v>
      </c>
      <c r="G66" t="s">
        <v>3</v>
      </c>
      <c r="H66">
        <v>12</v>
      </c>
    </row>
    <row r="67" spans="1:8" x14ac:dyDescent="0.25">
      <c r="A67" t="s">
        <v>357</v>
      </c>
      <c r="B67" t="s">
        <v>354</v>
      </c>
      <c r="C67" t="s">
        <v>118</v>
      </c>
      <c r="D67" s="2" t="s">
        <v>572</v>
      </c>
      <c r="E67" t="s">
        <v>574</v>
      </c>
      <c r="F67" t="s">
        <v>584</v>
      </c>
      <c r="G67" t="s">
        <v>3</v>
      </c>
      <c r="H67">
        <v>12</v>
      </c>
    </row>
    <row r="68" spans="1:8" x14ac:dyDescent="0.25">
      <c r="A68" t="s">
        <v>357</v>
      </c>
      <c r="B68" t="s">
        <v>354</v>
      </c>
      <c r="C68" t="s">
        <v>118</v>
      </c>
      <c r="D68" s="2" t="s">
        <v>572</v>
      </c>
      <c r="E68" t="s">
        <v>551</v>
      </c>
      <c r="F68" t="s">
        <v>600</v>
      </c>
      <c r="G68" t="s">
        <v>576</v>
      </c>
      <c r="H68">
        <v>12</v>
      </c>
    </row>
    <row r="69" spans="1:8" x14ac:dyDescent="0.25">
      <c r="A69" t="s">
        <v>357</v>
      </c>
      <c r="B69" t="s">
        <v>354</v>
      </c>
      <c r="C69" t="s">
        <v>118</v>
      </c>
      <c r="D69" s="2" t="s">
        <v>572</v>
      </c>
      <c r="E69" t="s">
        <v>41</v>
      </c>
      <c r="F69" t="s">
        <v>552</v>
      </c>
      <c r="G69" t="s">
        <v>549</v>
      </c>
      <c r="H69">
        <v>12</v>
      </c>
    </row>
    <row r="70" spans="1:8" x14ac:dyDescent="0.25">
      <c r="A70" t="s">
        <v>362</v>
      </c>
      <c r="B70" t="s">
        <v>359</v>
      </c>
      <c r="C70" t="s">
        <v>93</v>
      </c>
      <c r="D70" s="2" t="s">
        <v>572</v>
      </c>
      <c r="E70" t="s">
        <v>588</v>
      </c>
      <c r="F70" t="s">
        <v>602</v>
      </c>
      <c r="G70" t="s">
        <v>604</v>
      </c>
      <c r="H70">
        <v>12</v>
      </c>
    </row>
    <row r="71" spans="1:8" x14ac:dyDescent="0.25">
      <c r="A71" t="s">
        <v>362</v>
      </c>
      <c r="B71" t="s">
        <v>359</v>
      </c>
      <c r="C71" t="s">
        <v>93</v>
      </c>
      <c r="D71" s="2" t="s">
        <v>572</v>
      </c>
      <c r="E71" t="s">
        <v>538</v>
      </c>
      <c r="F71" t="s">
        <v>605</v>
      </c>
      <c r="G71" t="s">
        <v>238</v>
      </c>
      <c r="H71">
        <v>12</v>
      </c>
    </row>
    <row r="72" spans="1:8" x14ac:dyDescent="0.25">
      <c r="A72" t="s">
        <v>362</v>
      </c>
      <c r="B72" t="s">
        <v>359</v>
      </c>
      <c r="C72" t="s">
        <v>93</v>
      </c>
      <c r="D72" s="2" t="s">
        <v>572</v>
      </c>
      <c r="E72" t="s">
        <v>594</v>
      </c>
      <c r="F72" t="s">
        <v>603</v>
      </c>
      <c r="G72" t="s">
        <v>596</v>
      </c>
      <c r="H72">
        <v>12</v>
      </c>
    </row>
    <row r="73" spans="1:8" x14ac:dyDescent="0.25">
      <c r="A73" t="s">
        <v>362</v>
      </c>
      <c r="B73" t="s">
        <v>359</v>
      </c>
      <c r="C73" t="s">
        <v>93</v>
      </c>
      <c r="D73" s="2" t="s">
        <v>572</v>
      </c>
      <c r="E73" t="s">
        <v>574</v>
      </c>
      <c r="F73" t="s">
        <v>575</v>
      </c>
      <c r="G73" t="s">
        <v>3</v>
      </c>
      <c r="H73">
        <v>12</v>
      </c>
    </row>
    <row r="74" spans="1:8" x14ac:dyDescent="0.25">
      <c r="A74" t="s">
        <v>362</v>
      </c>
      <c r="B74" t="s">
        <v>359</v>
      </c>
      <c r="C74" t="s">
        <v>93</v>
      </c>
      <c r="D74" s="2" t="s">
        <v>572</v>
      </c>
      <c r="E74" t="s">
        <v>551</v>
      </c>
      <c r="F74" t="s">
        <v>600</v>
      </c>
      <c r="G74" t="s">
        <v>576</v>
      </c>
      <c r="H74">
        <v>12</v>
      </c>
    </row>
    <row r="75" spans="1:8" x14ac:dyDescent="0.25">
      <c r="A75" t="s">
        <v>362</v>
      </c>
      <c r="B75" t="s">
        <v>359</v>
      </c>
      <c r="C75" t="s">
        <v>93</v>
      </c>
      <c r="D75" s="2" t="s">
        <v>572</v>
      </c>
      <c r="E75" t="s">
        <v>597</v>
      </c>
      <c r="F75" t="s">
        <v>598</v>
      </c>
      <c r="G75" t="s">
        <v>599</v>
      </c>
      <c r="H75">
        <v>12</v>
      </c>
    </row>
    <row r="76" spans="1:8" x14ac:dyDescent="0.25">
      <c r="A76" t="s">
        <v>362</v>
      </c>
      <c r="B76" t="s">
        <v>359</v>
      </c>
      <c r="C76" t="s">
        <v>93</v>
      </c>
      <c r="D76" s="2" t="s">
        <v>572</v>
      </c>
      <c r="E76" t="s">
        <v>577</v>
      </c>
      <c r="F76" t="s">
        <v>602</v>
      </c>
      <c r="G76" t="s">
        <v>578</v>
      </c>
      <c r="H76">
        <v>12</v>
      </c>
    </row>
    <row r="77" spans="1:8" x14ac:dyDescent="0.25">
      <c r="A77" t="s">
        <v>362</v>
      </c>
      <c r="B77" t="s">
        <v>359</v>
      </c>
      <c r="C77" t="s">
        <v>93</v>
      </c>
      <c r="D77" s="2" t="s">
        <v>572</v>
      </c>
      <c r="E77" t="s">
        <v>41</v>
      </c>
      <c r="F77" t="s">
        <v>552</v>
      </c>
      <c r="G77" t="s">
        <v>537</v>
      </c>
      <c r="H77">
        <v>12</v>
      </c>
    </row>
    <row r="78" spans="1:8" x14ac:dyDescent="0.25">
      <c r="A78" t="s">
        <v>367</v>
      </c>
      <c r="B78" t="s">
        <v>364</v>
      </c>
      <c r="C78" t="s">
        <v>115</v>
      </c>
      <c r="D78" s="2" t="s">
        <v>572</v>
      </c>
      <c r="E78" t="s">
        <v>588</v>
      </c>
      <c r="F78" t="s">
        <v>605</v>
      </c>
      <c r="G78" t="s">
        <v>601</v>
      </c>
      <c r="H78">
        <v>12</v>
      </c>
    </row>
    <row r="79" spans="1:8" x14ac:dyDescent="0.25">
      <c r="A79" t="s">
        <v>367</v>
      </c>
      <c r="B79" t="s">
        <v>364</v>
      </c>
      <c r="C79" t="s">
        <v>115</v>
      </c>
      <c r="D79" s="2" t="s">
        <v>572</v>
      </c>
      <c r="E79" t="s">
        <v>579</v>
      </c>
      <c r="F79" t="s">
        <v>593</v>
      </c>
      <c r="G79" t="s">
        <v>581</v>
      </c>
      <c r="H79">
        <v>12</v>
      </c>
    </row>
    <row r="80" spans="1:8" x14ac:dyDescent="0.25">
      <c r="A80" t="s">
        <v>367</v>
      </c>
      <c r="B80" t="s">
        <v>364</v>
      </c>
      <c r="C80" t="s">
        <v>115</v>
      </c>
      <c r="D80" s="2" t="s">
        <v>572</v>
      </c>
      <c r="E80" t="s">
        <v>594</v>
      </c>
      <c r="F80" t="s">
        <v>603</v>
      </c>
      <c r="G80" t="s">
        <v>596</v>
      </c>
      <c r="H80">
        <v>12</v>
      </c>
    </row>
    <row r="81" spans="1:8" x14ac:dyDescent="0.25">
      <c r="A81" t="s">
        <v>367</v>
      </c>
      <c r="B81" t="s">
        <v>364</v>
      </c>
      <c r="C81" t="s">
        <v>115</v>
      </c>
      <c r="D81" s="2" t="s">
        <v>572</v>
      </c>
      <c r="E81" t="s">
        <v>582</v>
      </c>
      <c r="F81" t="s">
        <v>583</v>
      </c>
      <c r="G81" t="s">
        <v>3</v>
      </c>
      <c r="H81">
        <v>12</v>
      </c>
    </row>
    <row r="82" spans="1:8" x14ac:dyDescent="0.25">
      <c r="A82" t="s">
        <v>367</v>
      </c>
      <c r="B82" t="s">
        <v>364</v>
      </c>
      <c r="C82" t="s">
        <v>115</v>
      </c>
      <c r="D82" s="2" t="s">
        <v>572</v>
      </c>
      <c r="E82" t="s">
        <v>574</v>
      </c>
      <c r="F82" t="s">
        <v>584</v>
      </c>
      <c r="G82" t="s">
        <v>3</v>
      </c>
      <c r="H82">
        <v>12</v>
      </c>
    </row>
    <row r="83" spans="1:8" x14ac:dyDescent="0.25">
      <c r="A83" t="s">
        <v>367</v>
      </c>
      <c r="B83" t="s">
        <v>364</v>
      </c>
      <c r="C83" t="s">
        <v>115</v>
      </c>
      <c r="D83" s="2" t="s">
        <v>572</v>
      </c>
      <c r="E83" t="s">
        <v>551</v>
      </c>
      <c r="F83" t="s">
        <v>600</v>
      </c>
      <c r="G83" t="s">
        <v>576</v>
      </c>
      <c r="H83">
        <v>12</v>
      </c>
    </row>
    <row r="84" spans="1:8" x14ac:dyDescent="0.25">
      <c r="A84" t="s">
        <v>367</v>
      </c>
      <c r="B84" t="s">
        <v>364</v>
      </c>
      <c r="C84" t="s">
        <v>115</v>
      </c>
      <c r="D84" s="2" t="s">
        <v>572</v>
      </c>
      <c r="E84" t="s">
        <v>41</v>
      </c>
      <c r="F84" t="s">
        <v>552</v>
      </c>
      <c r="G84" t="s">
        <v>543</v>
      </c>
      <c r="H84">
        <v>12</v>
      </c>
    </row>
    <row r="85" spans="1:8" x14ac:dyDescent="0.25">
      <c r="A85" t="s">
        <v>372</v>
      </c>
      <c r="B85" t="s">
        <v>369</v>
      </c>
      <c r="C85" t="s">
        <v>61</v>
      </c>
      <c r="D85" s="2" t="s">
        <v>572</v>
      </c>
      <c r="E85" t="s">
        <v>585</v>
      </c>
      <c r="F85" t="s">
        <v>586</v>
      </c>
      <c r="G85" t="s">
        <v>587</v>
      </c>
      <c r="H85">
        <v>3</v>
      </c>
    </row>
    <row r="86" spans="1:8" x14ac:dyDescent="0.25">
      <c r="A86" t="s">
        <v>372</v>
      </c>
      <c r="B86" t="s">
        <v>369</v>
      </c>
      <c r="C86" t="s">
        <v>61</v>
      </c>
      <c r="D86" s="2" t="s">
        <v>572</v>
      </c>
      <c r="E86" t="s">
        <v>590</v>
      </c>
      <c r="F86" t="s">
        <v>607</v>
      </c>
      <c r="G86" t="s">
        <v>592</v>
      </c>
      <c r="H86">
        <v>3</v>
      </c>
    </row>
    <row r="87" spans="1:8" x14ac:dyDescent="0.25">
      <c r="A87" t="s">
        <v>372</v>
      </c>
      <c r="B87" t="s">
        <v>369</v>
      </c>
      <c r="C87" t="s">
        <v>61</v>
      </c>
      <c r="D87" s="2" t="s">
        <v>572</v>
      </c>
      <c r="E87" t="s">
        <v>579</v>
      </c>
      <c r="F87" t="s">
        <v>580</v>
      </c>
      <c r="G87" t="s">
        <v>581</v>
      </c>
      <c r="H87">
        <v>3</v>
      </c>
    </row>
    <row r="88" spans="1:8" x14ac:dyDescent="0.25">
      <c r="A88" t="s">
        <v>372</v>
      </c>
      <c r="B88" t="s">
        <v>369</v>
      </c>
      <c r="C88" t="s">
        <v>61</v>
      </c>
      <c r="D88" s="2" t="s">
        <v>572</v>
      </c>
      <c r="E88" t="s">
        <v>582</v>
      </c>
      <c r="F88" t="s">
        <v>583</v>
      </c>
      <c r="G88" t="s">
        <v>3</v>
      </c>
      <c r="H88">
        <v>3</v>
      </c>
    </row>
    <row r="89" spans="1:8" x14ac:dyDescent="0.25">
      <c r="A89" t="s">
        <v>372</v>
      </c>
      <c r="B89" t="s">
        <v>369</v>
      </c>
      <c r="C89" t="s">
        <v>61</v>
      </c>
      <c r="D89" s="2" t="s">
        <v>572</v>
      </c>
      <c r="E89" t="s">
        <v>574</v>
      </c>
      <c r="F89" t="s">
        <v>584</v>
      </c>
      <c r="G89" t="s">
        <v>3</v>
      </c>
      <c r="H89">
        <v>3</v>
      </c>
    </row>
    <row r="90" spans="1:8" x14ac:dyDescent="0.25">
      <c r="A90" t="s">
        <v>372</v>
      </c>
      <c r="B90" t="s">
        <v>369</v>
      </c>
      <c r="C90" t="s">
        <v>61</v>
      </c>
      <c r="D90" s="2" t="s">
        <v>572</v>
      </c>
      <c r="E90" t="s">
        <v>41</v>
      </c>
      <c r="F90" t="s">
        <v>542</v>
      </c>
      <c r="G90" t="s">
        <v>549</v>
      </c>
      <c r="H90">
        <v>3</v>
      </c>
    </row>
    <row r="91" spans="1:8" x14ac:dyDescent="0.25">
      <c r="A91" t="s">
        <v>377</v>
      </c>
      <c r="B91" t="s">
        <v>374</v>
      </c>
      <c r="C91" t="s">
        <v>109</v>
      </c>
      <c r="D91" s="2" t="s">
        <v>572</v>
      </c>
      <c r="E91" t="s">
        <v>588</v>
      </c>
      <c r="F91" t="s">
        <v>605</v>
      </c>
      <c r="G91" t="s">
        <v>604</v>
      </c>
      <c r="H91">
        <v>12</v>
      </c>
    </row>
    <row r="92" spans="1:8" x14ac:dyDescent="0.25">
      <c r="A92" t="s">
        <v>377</v>
      </c>
      <c r="B92" t="s">
        <v>374</v>
      </c>
      <c r="C92" t="s">
        <v>109</v>
      </c>
      <c r="D92" s="2" t="s">
        <v>572</v>
      </c>
      <c r="E92" t="s">
        <v>538</v>
      </c>
      <c r="F92" t="s">
        <v>605</v>
      </c>
      <c r="G92" t="s">
        <v>238</v>
      </c>
      <c r="H92">
        <v>12</v>
      </c>
    </row>
    <row r="93" spans="1:8" x14ac:dyDescent="0.25">
      <c r="A93" t="s">
        <v>377</v>
      </c>
      <c r="B93" t="s">
        <v>374</v>
      </c>
      <c r="C93" t="s">
        <v>109</v>
      </c>
      <c r="D93" s="2" t="s">
        <v>572</v>
      </c>
      <c r="E93" t="s">
        <v>594</v>
      </c>
      <c r="F93" t="s">
        <v>603</v>
      </c>
      <c r="G93" t="s">
        <v>596</v>
      </c>
      <c r="H93">
        <v>12</v>
      </c>
    </row>
    <row r="94" spans="1:8" x14ac:dyDescent="0.25">
      <c r="A94" t="s">
        <v>377</v>
      </c>
      <c r="B94" t="s">
        <v>374</v>
      </c>
      <c r="C94" t="s">
        <v>109</v>
      </c>
      <c r="D94" s="2" t="s">
        <v>572</v>
      </c>
      <c r="E94" t="s">
        <v>574</v>
      </c>
      <c r="F94" t="s">
        <v>575</v>
      </c>
      <c r="G94" t="s">
        <v>3</v>
      </c>
      <c r="H94">
        <v>12</v>
      </c>
    </row>
    <row r="95" spans="1:8" x14ac:dyDescent="0.25">
      <c r="A95" t="s">
        <v>377</v>
      </c>
      <c r="B95" t="s">
        <v>374</v>
      </c>
      <c r="C95" t="s">
        <v>109</v>
      </c>
      <c r="D95" s="2" t="s">
        <v>572</v>
      </c>
      <c r="E95" t="s">
        <v>551</v>
      </c>
      <c r="F95" t="s">
        <v>600</v>
      </c>
      <c r="G95" t="s">
        <v>576</v>
      </c>
      <c r="H95">
        <v>12</v>
      </c>
    </row>
    <row r="96" spans="1:8" x14ac:dyDescent="0.25">
      <c r="A96" t="s">
        <v>377</v>
      </c>
      <c r="B96" t="s">
        <v>374</v>
      </c>
      <c r="C96" t="s">
        <v>109</v>
      </c>
      <c r="D96" s="2" t="s">
        <v>572</v>
      </c>
      <c r="E96" t="s">
        <v>41</v>
      </c>
      <c r="F96" t="s">
        <v>552</v>
      </c>
      <c r="G96" t="s">
        <v>537</v>
      </c>
      <c r="H96">
        <v>12</v>
      </c>
    </row>
    <row r="97" spans="1:8" x14ac:dyDescent="0.25">
      <c r="A97" t="s">
        <v>382</v>
      </c>
      <c r="B97" t="s">
        <v>379</v>
      </c>
      <c r="C97" t="s">
        <v>53</v>
      </c>
      <c r="D97" s="2" t="s">
        <v>572</v>
      </c>
      <c r="E97" t="s">
        <v>579</v>
      </c>
      <c r="F97" t="s">
        <v>580</v>
      </c>
      <c r="G97" t="s">
        <v>581</v>
      </c>
      <c r="H97">
        <v>3</v>
      </c>
    </row>
    <row r="98" spans="1:8" x14ac:dyDescent="0.25">
      <c r="A98" t="s">
        <v>382</v>
      </c>
      <c r="B98" t="s">
        <v>379</v>
      </c>
      <c r="C98" t="s">
        <v>53</v>
      </c>
      <c r="D98" s="2" t="s">
        <v>572</v>
      </c>
      <c r="E98" t="s">
        <v>582</v>
      </c>
      <c r="F98" t="s">
        <v>583</v>
      </c>
      <c r="G98" t="s">
        <v>3</v>
      </c>
      <c r="H98">
        <v>3</v>
      </c>
    </row>
    <row r="99" spans="1:8" x14ac:dyDescent="0.25">
      <c r="A99" t="s">
        <v>382</v>
      </c>
      <c r="B99" t="s">
        <v>379</v>
      </c>
      <c r="C99" t="s">
        <v>53</v>
      </c>
      <c r="D99" s="2" t="s">
        <v>572</v>
      </c>
      <c r="E99" t="s">
        <v>574</v>
      </c>
      <c r="F99" t="s">
        <v>584</v>
      </c>
      <c r="G99" t="s">
        <v>3</v>
      </c>
      <c r="H99">
        <v>3</v>
      </c>
    </row>
    <row r="100" spans="1:8" x14ac:dyDescent="0.25">
      <c r="A100" t="s">
        <v>382</v>
      </c>
      <c r="B100" t="s">
        <v>379</v>
      </c>
      <c r="C100" t="s">
        <v>53</v>
      </c>
      <c r="D100" s="2" t="s">
        <v>572</v>
      </c>
      <c r="E100" t="s">
        <v>577</v>
      </c>
      <c r="F100" t="s">
        <v>573</v>
      </c>
      <c r="G100" t="s">
        <v>578</v>
      </c>
      <c r="H100">
        <v>3</v>
      </c>
    </row>
    <row r="101" spans="1:8" x14ac:dyDescent="0.25">
      <c r="A101" t="s">
        <v>382</v>
      </c>
      <c r="B101" t="s">
        <v>379</v>
      </c>
      <c r="C101" t="s">
        <v>53</v>
      </c>
      <c r="D101" s="2" t="s">
        <v>572</v>
      </c>
      <c r="E101" t="s">
        <v>41</v>
      </c>
      <c r="F101" t="s">
        <v>542</v>
      </c>
      <c r="G101" t="s">
        <v>543</v>
      </c>
      <c r="H101">
        <v>3</v>
      </c>
    </row>
    <row r="102" spans="1:8" x14ac:dyDescent="0.25">
      <c r="A102" t="s">
        <v>387</v>
      </c>
      <c r="B102" t="s">
        <v>384</v>
      </c>
      <c r="C102" t="s">
        <v>77</v>
      </c>
      <c r="D102" s="2" t="s">
        <v>572</v>
      </c>
      <c r="E102" t="s">
        <v>585</v>
      </c>
      <c r="F102" t="s">
        <v>586</v>
      </c>
      <c r="G102" t="s">
        <v>587</v>
      </c>
      <c r="H102">
        <v>3</v>
      </c>
    </row>
    <row r="103" spans="1:8" x14ac:dyDescent="0.25">
      <c r="A103" t="s">
        <v>387</v>
      </c>
      <c r="B103" t="s">
        <v>384</v>
      </c>
      <c r="C103" t="s">
        <v>77</v>
      </c>
      <c r="D103" s="2" t="s">
        <v>572</v>
      </c>
      <c r="E103" t="s">
        <v>590</v>
      </c>
      <c r="F103" t="s">
        <v>607</v>
      </c>
      <c r="G103" t="s">
        <v>592</v>
      </c>
      <c r="H103">
        <v>3</v>
      </c>
    </row>
    <row r="104" spans="1:8" x14ac:dyDescent="0.25">
      <c r="A104" t="s">
        <v>387</v>
      </c>
      <c r="B104" t="s">
        <v>384</v>
      </c>
      <c r="C104" t="s">
        <v>77</v>
      </c>
      <c r="D104" s="2" t="s">
        <v>572</v>
      </c>
      <c r="E104" t="s">
        <v>579</v>
      </c>
      <c r="F104" t="s">
        <v>580</v>
      </c>
      <c r="G104" t="s">
        <v>581</v>
      </c>
      <c r="H104">
        <v>3</v>
      </c>
    </row>
    <row r="105" spans="1:8" x14ac:dyDescent="0.25">
      <c r="A105" t="s">
        <v>387</v>
      </c>
      <c r="B105" t="s">
        <v>384</v>
      </c>
      <c r="C105" t="s">
        <v>77</v>
      </c>
      <c r="D105" s="2" t="s">
        <v>572</v>
      </c>
      <c r="E105" t="s">
        <v>582</v>
      </c>
      <c r="F105" t="s">
        <v>583</v>
      </c>
      <c r="G105" t="s">
        <v>3</v>
      </c>
      <c r="H105">
        <v>3</v>
      </c>
    </row>
    <row r="106" spans="1:8" x14ac:dyDescent="0.25">
      <c r="A106" t="s">
        <v>387</v>
      </c>
      <c r="B106" t="s">
        <v>384</v>
      </c>
      <c r="C106" t="s">
        <v>77</v>
      </c>
      <c r="D106" s="2" t="s">
        <v>572</v>
      </c>
      <c r="E106" t="s">
        <v>574</v>
      </c>
      <c r="F106" t="s">
        <v>584</v>
      </c>
      <c r="G106" t="s">
        <v>3</v>
      </c>
      <c r="H106">
        <v>3</v>
      </c>
    </row>
    <row r="107" spans="1:8" x14ac:dyDescent="0.25">
      <c r="A107" t="s">
        <v>387</v>
      </c>
      <c r="B107" t="s">
        <v>384</v>
      </c>
      <c r="C107" t="s">
        <v>77</v>
      </c>
      <c r="D107" s="2" t="s">
        <v>572</v>
      </c>
      <c r="E107" t="s">
        <v>551</v>
      </c>
      <c r="F107" t="s">
        <v>573</v>
      </c>
      <c r="G107" t="s">
        <v>576</v>
      </c>
      <c r="H107">
        <v>3</v>
      </c>
    </row>
    <row r="108" spans="1:8" x14ac:dyDescent="0.25">
      <c r="A108" t="s">
        <v>387</v>
      </c>
      <c r="B108" t="s">
        <v>384</v>
      </c>
      <c r="C108" t="s">
        <v>77</v>
      </c>
      <c r="D108" s="2" t="s">
        <v>572</v>
      </c>
      <c r="E108" t="s">
        <v>41</v>
      </c>
      <c r="F108" t="s">
        <v>542</v>
      </c>
      <c r="G108" t="s">
        <v>549</v>
      </c>
      <c r="H108">
        <v>3</v>
      </c>
    </row>
    <row r="109" spans="1:8" x14ac:dyDescent="0.25">
      <c r="A109" t="s">
        <v>608</v>
      </c>
      <c r="B109" t="s">
        <v>609</v>
      </c>
      <c r="C109" t="s">
        <v>85</v>
      </c>
      <c r="D109" s="2" t="s">
        <v>610</v>
      </c>
      <c r="E109" t="s">
        <v>588</v>
      </c>
      <c r="F109" t="s">
        <v>573</v>
      </c>
      <c r="G109" t="s">
        <v>601</v>
      </c>
      <c r="H109">
        <v>6</v>
      </c>
    </row>
    <row r="110" spans="1:8" x14ac:dyDescent="0.25">
      <c r="A110" t="s">
        <v>608</v>
      </c>
      <c r="B110" t="s">
        <v>609</v>
      </c>
      <c r="C110" t="s">
        <v>85</v>
      </c>
      <c r="D110" s="2" t="s">
        <v>610</v>
      </c>
      <c r="E110" t="s">
        <v>579</v>
      </c>
      <c r="F110" t="s">
        <v>593</v>
      </c>
      <c r="G110" t="s">
        <v>581</v>
      </c>
      <c r="H110">
        <v>6</v>
      </c>
    </row>
    <row r="111" spans="1:8" x14ac:dyDescent="0.25">
      <c r="A111" t="s">
        <v>608</v>
      </c>
      <c r="B111" t="s">
        <v>609</v>
      </c>
      <c r="C111" t="s">
        <v>85</v>
      </c>
      <c r="D111" s="2" t="s">
        <v>610</v>
      </c>
      <c r="E111" t="s">
        <v>594</v>
      </c>
      <c r="F111" t="s">
        <v>595</v>
      </c>
      <c r="G111" t="s">
        <v>596</v>
      </c>
      <c r="H111">
        <v>6</v>
      </c>
    </row>
    <row r="112" spans="1:8" x14ac:dyDescent="0.25">
      <c r="A112" t="s">
        <v>608</v>
      </c>
      <c r="B112" t="s">
        <v>609</v>
      </c>
      <c r="C112" t="s">
        <v>85</v>
      </c>
      <c r="D112" s="2" t="s">
        <v>610</v>
      </c>
      <c r="E112" t="s">
        <v>582</v>
      </c>
      <c r="F112" t="s">
        <v>583</v>
      </c>
      <c r="G112" t="s">
        <v>3</v>
      </c>
      <c r="H112">
        <v>6</v>
      </c>
    </row>
    <row r="113" spans="1:8" x14ac:dyDescent="0.25">
      <c r="A113" t="s">
        <v>608</v>
      </c>
      <c r="B113" t="s">
        <v>609</v>
      </c>
      <c r="C113" t="s">
        <v>85</v>
      </c>
      <c r="D113" s="2" t="s">
        <v>610</v>
      </c>
      <c r="E113" t="s">
        <v>574</v>
      </c>
      <c r="F113" t="s">
        <v>584</v>
      </c>
      <c r="G113" t="s">
        <v>3</v>
      </c>
      <c r="H113">
        <v>6</v>
      </c>
    </row>
    <row r="114" spans="1:8" x14ac:dyDescent="0.25">
      <c r="A114" t="s">
        <v>608</v>
      </c>
      <c r="B114" t="s">
        <v>609</v>
      </c>
      <c r="C114" t="s">
        <v>85</v>
      </c>
      <c r="D114" s="2" t="s">
        <v>610</v>
      </c>
      <c r="E114" t="s">
        <v>597</v>
      </c>
      <c r="F114" t="s">
        <v>598</v>
      </c>
      <c r="G114" t="s">
        <v>599</v>
      </c>
      <c r="H114">
        <v>6</v>
      </c>
    </row>
    <row r="115" spans="1:8" x14ac:dyDescent="0.25">
      <c r="A115" t="s">
        <v>608</v>
      </c>
      <c r="B115" t="s">
        <v>609</v>
      </c>
      <c r="C115" t="s">
        <v>85</v>
      </c>
      <c r="D115" s="2" t="s">
        <v>610</v>
      </c>
      <c r="E115" t="s">
        <v>577</v>
      </c>
      <c r="F115" t="s">
        <v>602</v>
      </c>
      <c r="G115" t="s">
        <v>578</v>
      </c>
      <c r="H115">
        <v>6</v>
      </c>
    </row>
    <row r="116" spans="1:8" x14ac:dyDescent="0.25">
      <c r="A116" t="s">
        <v>608</v>
      </c>
      <c r="B116" t="s">
        <v>609</v>
      </c>
      <c r="C116" t="s">
        <v>85</v>
      </c>
      <c r="D116" s="2" t="s">
        <v>610</v>
      </c>
      <c r="E116" t="s">
        <v>41</v>
      </c>
      <c r="F116" t="s">
        <v>536</v>
      </c>
      <c r="G116" t="s">
        <v>543</v>
      </c>
      <c r="H116">
        <v>6</v>
      </c>
    </row>
    <row r="117" spans="1:8" x14ac:dyDescent="0.25">
      <c r="A117" t="s">
        <v>608</v>
      </c>
      <c r="B117" t="s">
        <v>609</v>
      </c>
      <c r="C117" t="s">
        <v>85</v>
      </c>
      <c r="D117" s="2" t="s">
        <v>611</v>
      </c>
      <c r="E117" t="s">
        <v>588</v>
      </c>
      <c r="F117" t="s">
        <v>573</v>
      </c>
      <c r="G117" t="s">
        <v>601</v>
      </c>
      <c r="H117">
        <v>6</v>
      </c>
    </row>
    <row r="118" spans="1:8" x14ac:dyDescent="0.25">
      <c r="A118" t="s">
        <v>608</v>
      </c>
      <c r="B118" t="s">
        <v>609</v>
      </c>
      <c r="C118" t="s">
        <v>85</v>
      </c>
      <c r="D118" s="2" t="s">
        <v>611</v>
      </c>
      <c r="E118" t="s">
        <v>579</v>
      </c>
      <c r="F118" t="s">
        <v>580</v>
      </c>
      <c r="G118" t="s">
        <v>581</v>
      </c>
      <c r="H118">
        <v>6</v>
      </c>
    </row>
    <row r="119" spans="1:8" x14ac:dyDescent="0.25">
      <c r="A119" t="s">
        <v>608</v>
      </c>
      <c r="B119" t="s">
        <v>609</v>
      </c>
      <c r="C119" t="s">
        <v>85</v>
      </c>
      <c r="D119" s="2" t="s">
        <v>611</v>
      </c>
      <c r="E119" t="s">
        <v>594</v>
      </c>
      <c r="F119" t="s">
        <v>595</v>
      </c>
      <c r="G119" t="s">
        <v>596</v>
      </c>
      <c r="H119">
        <v>6</v>
      </c>
    </row>
    <row r="120" spans="1:8" x14ac:dyDescent="0.25">
      <c r="A120" t="s">
        <v>608</v>
      </c>
      <c r="B120" t="s">
        <v>609</v>
      </c>
      <c r="C120" t="s">
        <v>85</v>
      </c>
      <c r="D120" s="2" t="s">
        <v>611</v>
      </c>
      <c r="E120" t="s">
        <v>582</v>
      </c>
      <c r="F120" t="s">
        <v>583</v>
      </c>
      <c r="G120" t="s">
        <v>3</v>
      </c>
      <c r="H120">
        <v>6</v>
      </c>
    </row>
    <row r="121" spans="1:8" x14ac:dyDescent="0.25">
      <c r="A121" t="s">
        <v>608</v>
      </c>
      <c r="B121" t="s">
        <v>609</v>
      </c>
      <c r="C121" t="s">
        <v>85</v>
      </c>
      <c r="D121" s="2" t="s">
        <v>611</v>
      </c>
      <c r="E121" t="s">
        <v>574</v>
      </c>
      <c r="F121" t="s">
        <v>584</v>
      </c>
      <c r="G121" t="s">
        <v>3</v>
      </c>
      <c r="H121">
        <v>6</v>
      </c>
    </row>
    <row r="122" spans="1:8" x14ac:dyDescent="0.25">
      <c r="A122" t="s">
        <v>608</v>
      </c>
      <c r="B122" t="s">
        <v>609</v>
      </c>
      <c r="C122" t="s">
        <v>85</v>
      </c>
      <c r="D122" s="2" t="s">
        <v>611</v>
      </c>
      <c r="E122" t="s">
        <v>597</v>
      </c>
      <c r="F122" t="s">
        <v>598</v>
      </c>
      <c r="G122" t="s">
        <v>599</v>
      </c>
      <c r="H122">
        <v>6</v>
      </c>
    </row>
    <row r="123" spans="1:8" x14ac:dyDescent="0.25">
      <c r="A123" t="s">
        <v>608</v>
      </c>
      <c r="B123" t="s">
        <v>609</v>
      </c>
      <c r="C123" t="s">
        <v>85</v>
      </c>
      <c r="D123" s="2" t="s">
        <v>611</v>
      </c>
      <c r="E123" t="s">
        <v>577</v>
      </c>
      <c r="F123" t="s">
        <v>602</v>
      </c>
      <c r="G123" t="s">
        <v>578</v>
      </c>
      <c r="H123">
        <v>6</v>
      </c>
    </row>
    <row r="124" spans="1:8" x14ac:dyDescent="0.25">
      <c r="A124" t="s">
        <v>608</v>
      </c>
      <c r="B124" t="s">
        <v>609</v>
      </c>
      <c r="C124" t="s">
        <v>85</v>
      </c>
      <c r="D124" s="2" t="s">
        <v>611</v>
      </c>
      <c r="E124" t="s">
        <v>41</v>
      </c>
      <c r="F124" t="s">
        <v>536</v>
      </c>
      <c r="G124" t="s">
        <v>543</v>
      </c>
      <c r="H124">
        <v>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7" customWidth="1"/>
    <col min="3" max="3" width="18" customWidth="1"/>
    <col min="4" max="4" width="20" customWidth="1"/>
    <col min="5" max="5" width="11" style="29" customWidth="1"/>
    <col min="6" max="6" width="22" customWidth="1"/>
    <col min="7" max="7" width="11" customWidth="1"/>
    <col min="8" max="9" width="40" style="2" customWidth="1"/>
    <col min="10" max="11" width="60" style="2" customWidth="1"/>
    <col min="12" max="12" width="28" style="2" customWidth="1"/>
    <col min="13" max="13" width="10" customWidth="1"/>
    <col min="14" max="14" width="12" customWidth="1"/>
    <col min="15" max="16" width="8" customWidth="1"/>
  </cols>
  <sheetData>
    <row r="1" ht="32" customHeight="1" spans="1:16" x14ac:dyDescent="0.25">
      <c r="A1" s="5" t="s">
        <v>612</v>
      </c>
      <c r="B1" s="5" t="s">
        <v>32</v>
      </c>
      <c r="C1" s="5" t="s">
        <v>613</v>
      </c>
      <c r="D1" s="5" t="s">
        <v>614</v>
      </c>
      <c r="E1" s="30" t="s">
        <v>615</v>
      </c>
      <c r="F1" s="5" t="s">
        <v>616</v>
      </c>
      <c r="G1" s="5" t="s">
        <v>43</v>
      </c>
      <c r="H1" s="6" t="s">
        <v>617</v>
      </c>
      <c r="I1" s="6" t="s">
        <v>618</v>
      </c>
      <c r="J1" s="6" t="s">
        <v>619</v>
      </c>
      <c r="K1" s="6" t="s">
        <v>620</v>
      </c>
      <c r="L1" s="6" t="s">
        <v>621</v>
      </c>
      <c r="M1" s="5" t="s">
        <v>622</v>
      </c>
      <c r="N1" s="5" t="s">
        <v>623</v>
      </c>
      <c r="O1" s="5" t="s">
        <v>624</v>
      </c>
      <c r="P1" s="5" t="s">
        <v>625</v>
      </c>
    </row>
    <row r="2" spans="1:16" x14ac:dyDescent="0.25">
      <c r="A2" t="s">
        <v>608</v>
      </c>
      <c r="B2" t="s">
        <v>85</v>
      </c>
      <c r="C2" t="s">
        <v>626</v>
      </c>
      <c r="D2" t="s">
        <v>255</v>
      </c>
      <c r="E2" s="29">
        <v>46302</v>
      </c>
      <c r="F2" t="s">
        <v>209</v>
      </c>
      <c r="G2" t="s">
        <v>546</v>
      </c>
      <c r="H2" s="2" t="s">
        <v>627</v>
      </c>
      <c r="I2" s="2" t="s">
        <v>628</v>
      </c>
      <c r="J2" s="2" t="s">
        <v>86</v>
      </c>
      <c r="K2" s="2" t="s">
        <v>629</v>
      </c>
      <c r="L2" s="2" t="s">
        <v>630</v>
      </c>
      <c r="M2" t="s">
        <v>253</v>
      </c>
      <c r="N2" t="s">
        <v>212</v>
      </c>
      <c r="O2">
        <v>6</v>
      </c>
      <c r="P2">
        <v>6</v>
      </c>
    </row>
  </sheetData>
  <autoFilter ref="A1:P1"/>
  <dataValidations count="1">
    <dataValidation type="list" sqref="G2">
      <formula1>"Pendiente,Aprobado,Rechazado"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1" customWidth="1"/>
    <col min="4" max="4" width="32" customWidth="1"/>
    <col min="5" max="5" width="16" customWidth="1"/>
    <col min="6" max="6" width="14" customWidth="1"/>
    <col min="7" max="7" width="11" style="29" customWidth="1"/>
    <col min="8" max="8" width="50" style="2" customWidth="1"/>
    <col min="9" max="9" width="20" customWidth="1"/>
  </cols>
  <sheetData>
    <row r="1" ht="32" customHeight="1" spans="1:9" x14ac:dyDescent="0.25">
      <c r="A1" s="5" t="s">
        <v>168</v>
      </c>
      <c r="B1" s="5" t="s">
        <v>567</v>
      </c>
      <c r="C1" s="5" t="s">
        <v>43</v>
      </c>
      <c r="D1" s="5" t="s">
        <v>631</v>
      </c>
      <c r="E1" s="5" t="s">
        <v>235</v>
      </c>
      <c r="F1" s="5" t="s">
        <v>169</v>
      </c>
      <c r="G1" s="30" t="s">
        <v>632</v>
      </c>
      <c r="H1" s="6" t="s">
        <v>251</v>
      </c>
      <c r="I1" s="5" t="s">
        <v>633</v>
      </c>
    </row>
    <row r="2" spans="1:9" x14ac:dyDescent="0.25">
      <c r="A2" t="s">
        <v>265</v>
      </c>
      <c r="B2" t="s">
        <v>634</v>
      </c>
      <c r="C2" t="s">
        <v>635</v>
      </c>
      <c r="D2" t="s">
        <v>189</v>
      </c>
      <c r="E2" t="s">
        <v>177</v>
      </c>
      <c r="F2" t="s">
        <v>184</v>
      </c>
      <c r="G2" s="29">
        <v>46249</v>
      </c>
      <c r="H2" s="2" t="s">
        <v>636</v>
      </c>
      <c r="I2" t="s">
        <v>192</v>
      </c>
    </row>
    <row r="3" spans="1:9" x14ac:dyDescent="0.25">
      <c r="A3" t="s">
        <v>271</v>
      </c>
      <c r="B3" t="s">
        <v>634</v>
      </c>
      <c r="C3" t="s">
        <v>635</v>
      </c>
      <c r="D3" t="s">
        <v>198</v>
      </c>
      <c r="E3" t="s">
        <v>177</v>
      </c>
      <c r="F3" t="s">
        <v>196</v>
      </c>
      <c r="G3" s="29">
        <v>46249</v>
      </c>
      <c r="H3" s="2" t="s">
        <v>3</v>
      </c>
      <c r="I3" t="s">
        <v>201</v>
      </c>
    </row>
    <row r="4" spans="1:9" x14ac:dyDescent="0.25">
      <c r="A4" t="s">
        <v>275</v>
      </c>
      <c r="B4" t="s">
        <v>634</v>
      </c>
      <c r="C4" t="s">
        <v>635</v>
      </c>
      <c r="D4" t="s">
        <v>208</v>
      </c>
      <c r="E4" t="s">
        <v>177</v>
      </c>
      <c r="F4" t="s">
        <v>205</v>
      </c>
      <c r="G4" s="29">
        <v>46249</v>
      </c>
      <c r="H4" s="2" t="s">
        <v>3</v>
      </c>
      <c r="I4" t="s">
        <v>211</v>
      </c>
    </row>
    <row r="5" spans="1:9" x14ac:dyDescent="0.25">
      <c r="A5" t="s">
        <v>279</v>
      </c>
      <c r="B5" t="s">
        <v>634</v>
      </c>
      <c r="C5" t="s">
        <v>635</v>
      </c>
      <c r="D5" t="s">
        <v>218</v>
      </c>
      <c r="E5" t="s">
        <v>177</v>
      </c>
      <c r="F5" t="s">
        <v>215</v>
      </c>
      <c r="G5" s="29">
        <v>46249</v>
      </c>
      <c r="H5" s="2" t="s">
        <v>3</v>
      </c>
      <c r="I5" t="s">
        <v>221</v>
      </c>
    </row>
    <row r="6" spans="1:9" x14ac:dyDescent="0.25">
      <c r="A6" t="s">
        <v>283</v>
      </c>
      <c r="B6" t="s">
        <v>634</v>
      </c>
      <c r="C6" t="s">
        <v>635</v>
      </c>
      <c r="D6" t="s">
        <v>228</v>
      </c>
      <c r="E6" t="s">
        <v>177</v>
      </c>
      <c r="F6" t="s">
        <v>225</v>
      </c>
      <c r="G6" s="29">
        <v>46249</v>
      </c>
      <c r="H6" s="2" t="s">
        <v>3</v>
      </c>
      <c r="I6" t="s">
        <v>231</v>
      </c>
    </row>
    <row r="7" spans="1:9" x14ac:dyDescent="0.25">
      <c r="A7" t="s">
        <v>637</v>
      </c>
      <c r="B7" t="s">
        <v>638</v>
      </c>
      <c r="C7" t="s">
        <v>639</v>
      </c>
      <c r="D7" t="s">
        <v>324</v>
      </c>
      <c r="E7" t="s">
        <v>312</v>
      </c>
      <c r="F7" t="s">
        <v>184</v>
      </c>
      <c r="G7" s="29"/>
      <c r="H7" s="2" t="s">
        <v>640</v>
      </c>
      <c r="I7" t="s">
        <v>327</v>
      </c>
    </row>
    <row r="8" spans="1:9" x14ac:dyDescent="0.25">
      <c r="A8" t="s">
        <v>641</v>
      </c>
      <c r="B8" t="s">
        <v>638</v>
      </c>
      <c r="C8" t="s">
        <v>639</v>
      </c>
      <c r="D8" t="s">
        <v>334</v>
      </c>
      <c r="E8" t="s">
        <v>312</v>
      </c>
      <c r="F8" t="s">
        <v>196</v>
      </c>
      <c r="G8" s="29"/>
      <c r="H8" s="2" t="s">
        <v>640</v>
      </c>
      <c r="I8" t="s">
        <v>337</v>
      </c>
    </row>
    <row r="9" spans="1:9" x14ac:dyDescent="0.25">
      <c r="A9" t="s">
        <v>642</v>
      </c>
      <c r="B9" t="s">
        <v>638</v>
      </c>
      <c r="C9" t="s">
        <v>635</v>
      </c>
      <c r="D9" t="s">
        <v>339</v>
      </c>
      <c r="E9" t="s">
        <v>312</v>
      </c>
      <c r="F9" t="s">
        <v>196</v>
      </c>
      <c r="G9" s="29">
        <v>46297</v>
      </c>
      <c r="H9" s="2" t="s">
        <v>3</v>
      </c>
      <c r="I9" t="s">
        <v>342</v>
      </c>
    </row>
    <row r="10" spans="1:9" x14ac:dyDescent="0.25">
      <c r="A10" t="s">
        <v>643</v>
      </c>
      <c r="B10" t="s">
        <v>638</v>
      </c>
      <c r="C10" t="s">
        <v>635</v>
      </c>
      <c r="D10" t="s">
        <v>344</v>
      </c>
      <c r="E10" t="s">
        <v>312</v>
      </c>
      <c r="F10" t="s">
        <v>205</v>
      </c>
      <c r="G10" s="29">
        <v>46281</v>
      </c>
      <c r="H10" s="2" t="s">
        <v>3</v>
      </c>
      <c r="I10" t="s">
        <v>347</v>
      </c>
    </row>
    <row r="11" spans="1:9" x14ac:dyDescent="0.25">
      <c r="A11" t="s">
        <v>644</v>
      </c>
      <c r="B11" t="s">
        <v>638</v>
      </c>
      <c r="C11" t="s">
        <v>639</v>
      </c>
      <c r="D11" t="s">
        <v>354</v>
      </c>
      <c r="E11" t="s">
        <v>312</v>
      </c>
      <c r="F11" t="s">
        <v>205</v>
      </c>
      <c r="G11" s="29"/>
      <c r="H11" s="2" t="s">
        <v>640</v>
      </c>
      <c r="I11" t="s">
        <v>357</v>
      </c>
    </row>
    <row r="12" spans="1:9" x14ac:dyDescent="0.25">
      <c r="A12" t="s">
        <v>645</v>
      </c>
      <c r="B12" t="s">
        <v>638</v>
      </c>
      <c r="C12" t="s">
        <v>639</v>
      </c>
      <c r="D12" t="s">
        <v>359</v>
      </c>
      <c r="E12" t="s">
        <v>312</v>
      </c>
      <c r="F12" t="s">
        <v>215</v>
      </c>
      <c r="G12" s="29"/>
      <c r="H12" s="2" t="s">
        <v>646</v>
      </c>
      <c r="I12" t="s">
        <v>362</v>
      </c>
    </row>
    <row r="13" spans="1:9" x14ac:dyDescent="0.25">
      <c r="A13" t="s">
        <v>647</v>
      </c>
      <c r="B13" t="s">
        <v>638</v>
      </c>
      <c r="C13" t="s">
        <v>635</v>
      </c>
      <c r="D13" t="s">
        <v>364</v>
      </c>
      <c r="E13" t="s">
        <v>312</v>
      </c>
      <c r="F13" t="s">
        <v>215</v>
      </c>
      <c r="G13" s="29">
        <v>46278</v>
      </c>
      <c r="H13" s="2" t="s">
        <v>3</v>
      </c>
      <c r="I13" t="s">
        <v>367</v>
      </c>
    </row>
    <row r="14" spans="1:9" x14ac:dyDescent="0.25">
      <c r="A14" t="s">
        <v>648</v>
      </c>
      <c r="B14" t="s">
        <v>638</v>
      </c>
      <c r="C14" t="s">
        <v>639</v>
      </c>
      <c r="D14" t="s">
        <v>374</v>
      </c>
      <c r="E14" t="s">
        <v>312</v>
      </c>
      <c r="F14" t="s">
        <v>225</v>
      </c>
      <c r="G14" s="29"/>
      <c r="H14" s="2" t="s">
        <v>640</v>
      </c>
      <c r="I14" t="s">
        <v>377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3" max="3" width="30" customWidth="1"/>
    <col min="4" max="4" width="34" customWidth="1"/>
    <col min="5" max="5" width="30" customWidth="1"/>
    <col min="7" max="7" width="18" customWidth="1"/>
    <col min="8" max="8" width="10" customWidth="1"/>
    <col min="11" max="13" width="11" customWidth="1"/>
    <col min="14" max="15" width="13" customWidth="1"/>
  </cols>
  <sheetData>
    <row r="1" ht="48" customHeight="1" spans="1:15" x14ac:dyDescent="0.25">
      <c r="A1" s="5" t="s">
        <v>169</v>
      </c>
      <c r="B1" s="5" t="s">
        <v>168</v>
      </c>
      <c r="C1" s="5" t="s">
        <v>177</v>
      </c>
      <c r="D1" s="5" t="s">
        <v>178</v>
      </c>
      <c r="E1" s="5" t="s">
        <v>179</v>
      </c>
      <c r="F1" s="5" t="s">
        <v>649</v>
      </c>
      <c r="G1" s="5" t="s">
        <v>650</v>
      </c>
      <c r="H1" s="5" t="s">
        <v>493</v>
      </c>
      <c r="I1" s="5" t="s">
        <v>68</v>
      </c>
      <c r="J1" s="5" t="s">
        <v>651</v>
      </c>
      <c r="K1" s="5" t="s">
        <v>652</v>
      </c>
      <c r="L1" s="5" t="s">
        <v>653</v>
      </c>
      <c r="M1" s="5" t="s">
        <v>654</v>
      </c>
      <c r="N1" s="5" t="s">
        <v>655</v>
      </c>
      <c r="O1" s="5" t="s">
        <v>656</v>
      </c>
    </row>
    <row r="2" spans="1:15" x14ac:dyDescent="0.25">
      <c r="A2" t="s">
        <v>184</v>
      </c>
      <c r="B2" t="s">
        <v>183</v>
      </c>
      <c r="C2" t="s">
        <v>189</v>
      </c>
      <c r="D2" t="s">
        <v>190</v>
      </c>
      <c r="E2" t="s">
        <v>191</v>
      </c>
      <c r="F2">
        <f>COUNTIF(Pacientes!$N:$N,B2)</f>
        <v>4</v>
      </c>
      <c r="G2" t="s">
        <v>657</v>
      </c>
      <c r="H2">
        <f>COUNTIFS(Flujo!$C:$C,B2,Flujo!$E:$E,"Sin evaluación")</f>
        <v>1</v>
      </c>
      <c r="I2">
        <f>COUNTIFS(Flujo!$C:$C,B2,Flujo!$E:$E,"Por aprobar")</f>
        <v>1</v>
      </c>
      <c r="J2">
        <f>COUNTIFS(Flujo!$C:$C,B2,Flujo!$M:$M,"Abierta")</f>
        <v>0</v>
      </c>
      <c r="K2" t="str">
        <f>IF(COUNTIFS(Usuarios!$B:$B,"Experto de campo",Usuarios!$F:$F,A2)=1,"OK","REVISAR")</f>
        <v>OK</v>
      </c>
      <c r="L2" t="str">
        <f>IF(COUNTIFS(Usuarios!$B:$B,"Clínico",Usuarios!$F:$F,A2)=1,"OK","REVISAR")</f>
        <v>OK</v>
      </c>
      <c r="M2" t="str">
        <f>IF(COUNTIFS(Usuarios!$B:$B,"Observador",Usuarios!$F:$F,A2)=1,"OK","REVISAR")</f>
        <v>OK</v>
      </c>
      <c r="N2" t="str">
        <f>IF(I2&gt;=1,"OK","REVISAR")</f>
        <v>OK</v>
      </c>
      <c r="O2" t="str">
        <f>IF(H2&gt;=1,"OK","REVISAR")</f>
        <v>OK</v>
      </c>
    </row>
    <row r="3" spans="1:15" x14ac:dyDescent="0.25">
      <c r="A3" t="s">
        <v>196</v>
      </c>
      <c r="B3" t="s">
        <v>195</v>
      </c>
      <c r="C3" t="s">
        <v>198</v>
      </c>
      <c r="D3" t="s">
        <v>199</v>
      </c>
      <c r="E3" t="s">
        <v>200</v>
      </c>
      <c r="F3">
        <f>COUNTIF(Pacientes!$N:$N,B3)</f>
        <v>4</v>
      </c>
      <c r="G3" t="s">
        <v>658</v>
      </c>
      <c r="H3">
        <f>COUNTIFS(Flujo!$C:$C,B3,Flujo!$E:$E,"Sin evaluación")</f>
        <v>1</v>
      </c>
      <c r="I3">
        <f>COUNTIFS(Flujo!$C:$C,B3,Flujo!$E:$E,"Por aprobar")</f>
        <v>1</v>
      </c>
      <c r="J3">
        <f>COUNTIFS(Flujo!$C:$C,B3,Flujo!$M:$M,"Abierta")</f>
        <v>0</v>
      </c>
      <c r="K3" t="str">
        <f>IF(COUNTIFS(Usuarios!$B:$B,"Experto de campo",Usuarios!$F:$F,A3)=1,"OK","REVISAR")</f>
        <v>OK</v>
      </c>
      <c r="L3" t="str">
        <f>IF(COUNTIFS(Usuarios!$B:$B,"Clínico",Usuarios!$F:$F,A3)=1,"OK","REVISAR")</f>
        <v>OK</v>
      </c>
      <c r="M3" t="str">
        <f>IF(COUNTIFS(Usuarios!$B:$B,"Observador",Usuarios!$F:$F,A3)=1,"OK","REVISAR")</f>
        <v>OK</v>
      </c>
      <c r="N3" t="str">
        <f>IF(I3&gt;=1,"OK","REVISAR")</f>
        <v>OK</v>
      </c>
      <c r="O3" t="str">
        <f>IF(H3&gt;=1,"OK","REVISAR")</f>
        <v>OK</v>
      </c>
    </row>
    <row r="4" spans="1:15" x14ac:dyDescent="0.25">
      <c r="A4" t="s">
        <v>205</v>
      </c>
      <c r="B4" t="s">
        <v>204</v>
      </c>
      <c r="C4" t="s">
        <v>208</v>
      </c>
      <c r="D4" t="s">
        <v>209</v>
      </c>
      <c r="E4" t="s">
        <v>210</v>
      </c>
      <c r="F4">
        <f>COUNTIF(Pacientes!$N:$N,B4)</f>
        <v>4</v>
      </c>
      <c r="G4" t="s">
        <v>659</v>
      </c>
      <c r="H4">
        <f>COUNTIFS(Flujo!$C:$C,B4,Flujo!$E:$E,"Sin evaluación")</f>
        <v>1</v>
      </c>
      <c r="I4">
        <f>COUNTIFS(Flujo!$C:$C,B4,Flujo!$E:$E,"Por aprobar")</f>
        <v>1</v>
      </c>
      <c r="J4">
        <f>COUNTIFS(Flujo!$C:$C,B4,Flujo!$M:$M,"Abierta")</f>
        <v>0</v>
      </c>
      <c r="K4" t="str">
        <f>IF(COUNTIFS(Usuarios!$B:$B,"Experto de campo",Usuarios!$F:$F,A4)=1,"OK","REVISAR")</f>
        <v>OK</v>
      </c>
      <c r="L4" t="str">
        <f>IF(COUNTIFS(Usuarios!$B:$B,"Clínico",Usuarios!$F:$F,A4)=1,"OK","REVISAR")</f>
        <v>OK</v>
      </c>
      <c r="M4" t="str">
        <f>IF(COUNTIFS(Usuarios!$B:$B,"Observador",Usuarios!$F:$F,A4)=1,"OK","REVISAR")</f>
        <v>OK</v>
      </c>
      <c r="N4" t="str">
        <f>IF(I4&gt;=1,"OK","REVISAR")</f>
        <v>OK</v>
      </c>
      <c r="O4" t="str">
        <f>IF(H4&gt;=1,"OK","REVISAR")</f>
        <v>OK</v>
      </c>
    </row>
    <row r="5" spans="1:15" x14ac:dyDescent="0.25">
      <c r="A5" t="s">
        <v>215</v>
      </c>
      <c r="B5" t="s">
        <v>214</v>
      </c>
      <c r="C5" t="s">
        <v>218</v>
      </c>
      <c r="D5" t="s">
        <v>219</v>
      </c>
      <c r="E5" t="s">
        <v>220</v>
      </c>
      <c r="F5">
        <f>COUNTIF(Pacientes!$N:$N,B5)</f>
        <v>4</v>
      </c>
      <c r="G5" t="s">
        <v>660</v>
      </c>
      <c r="H5">
        <f>COUNTIFS(Flujo!$C:$C,B5,Flujo!$E:$E,"Sin evaluación")</f>
        <v>1</v>
      </c>
      <c r="I5">
        <f>COUNTIFS(Flujo!$C:$C,B5,Flujo!$E:$E,"Por aprobar")</f>
        <v>1</v>
      </c>
      <c r="J5">
        <f>COUNTIFS(Flujo!$C:$C,B5,Flujo!$M:$M,"Abierta")</f>
        <v>1</v>
      </c>
      <c r="K5" t="str">
        <f>IF(COUNTIFS(Usuarios!$B:$B,"Experto de campo",Usuarios!$F:$F,A5)=1,"OK","REVISAR")</f>
        <v>OK</v>
      </c>
      <c r="L5" t="str">
        <f>IF(COUNTIFS(Usuarios!$B:$B,"Clínico",Usuarios!$F:$F,A5)=1,"OK","REVISAR")</f>
        <v>OK</v>
      </c>
      <c r="M5" t="str">
        <f>IF(COUNTIFS(Usuarios!$B:$B,"Observador",Usuarios!$F:$F,A5)=1,"OK","REVISAR")</f>
        <v>OK</v>
      </c>
      <c r="N5" t="str">
        <f>IF(I5&gt;=1,"OK","REVISAR")</f>
        <v>OK</v>
      </c>
      <c r="O5" t="str">
        <f>IF(H5&gt;=1,"OK","REVISAR")</f>
        <v>OK</v>
      </c>
    </row>
    <row r="6" spans="1:15" x14ac:dyDescent="0.25">
      <c r="A6" t="s">
        <v>225</v>
      </c>
      <c r="B6" t="s">
        <v>224</v>
      </c>
      <c r="C6" t="s">
        <v>228</v>
      </c>
      <c r="D6" t="s">
        <v>229</v>
      </c>
      <c r="E6" t="s">
        <v>230</v>
      </c>
      <c r="F6">
        <f>COUNTIF(Pacientes!$N:$N,B6)</f>
        <v>4</v>
      </c>
      <c r="G6" t="s">
        <v>661</v>
      </c>
      <c r="H6">
        <f>COUNTIFS(Flujo!$C:$C,B6,Flujo!$E:$E,"Sin evaluación")</f>
        <v>1</v>
      </c>
      <c r="I6">
        <f>COUNTIFS(Flujo!$C:$C,B6,Flujo!$E:$E,"Por aprobar")</f>
        <v>1</v>
      </c>
      <c r="J6">
        <f>COUNTIFS(Flujo!$C:$C,B6,Flujo!$M:$M,"Abierta")</f>
        <v>1</v>
      </c>
      <c r="K6" t="str">
        <f>IF(COUNTIFS(Usuarios!$B:$B,"Experto de campo",Usuarios!$F:$F,A6)=1,"OK","REVISAR")</f>
        <v>OK</v>
      </c>
      <c r="L6" t="str">
        <f>IF(COUNTIFS(Usuarios!$B:$B,"Clínico",Usuarios!$F:$F,A6)=1,"OK","REVISAR")</f>
        <v>OK</v>
      </c>
      <c r="M6" t="str">
        <f>IF(COUNTIFS(Usuarios!$B:$B,"Observador",Usuarios!$F:$F,A6)=1,"OK","REVISAR")</f>
        <v>OK</v>
      </c>
      <c r="N6" t="str">
        <f>IF(I6&gt;=1,"OK","REVISAR")</f>
        <v>OK</v>
      </c>
      <c r="O6" t="str">
        <f>IF(H6&gt;=1,"OK","REVISAR")</f>
        <v>OK</v>
      </c>
    </row>
  </sheetData>
  <autoFilter ref="A1:O1"/>
  <conditionalFormatting sqref="K2:O6">
    <cfRule type="containsText" dxfId="4" priority="1">
      <formula>NOT(ISERROR(SEARCH("REVISAR",K2)))</formula>
    </cfRule>
    <cfRule type="containsText" dxfId="5" priority="2">
      <formula>NOT(ISERROR(SEARCH("OK",K2)))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4" customWidth="1"/>
    <col min="2" max="3" width="12" customWidth="1"/>
    <col min="4" max="4" width="11" customWidth="1"/>
  </cols>
  <sheetData>
    <row r="1" ht="24" customHeight="1" spans="1:4" x14ac:dyDescent="0.25">
      <c r="A1" s="5" t="s">
        <v>662</v>
      </c>
      <c r="B1" s="5" t="s">
        <v>663</v>
      </c>
      <c r="C1" s="5" t="s">
        <v>664</v>
      </c>
      <c r="D1" s="5" t="s">
        <v>43</v>
      </c>
    </row>
    <row r="2" spans="1:4" x14ac:dyDescent="0.25">
      <c r="A2" t="s">
        <v>665</v>
      </c>
      <c r="B2">
        <f>COUNTIF(Usuarios!$B$2:$B$37,"Administrador")</f>
        <v>1</v>
      </c>
      <c r="C2">
        <v>1</v>
      </c>
      <c r="D2" t="str">
        <f>IF(ROUND(B2,6)=C2,"OK","REVISAR")</f>
        <v>OK</v>
      </c>
    </row>
    <row r="3" spans="1:4" x14ac:dyDescent="0.25">
      <c r="A3" t="s">
        <v>666</v>
      </c>
      <c r="B3">
        <f>COUNTIF(Usuarios!$B$2:$B$37,"Experto de campo")</f>
        <v>5</v>
      </c>
      <c r="C3">
        <v>5</v>
      </c>
      <c r="D3" t="str">
        <f>IF(B3&gt;=C3,"OK","REVISAR")</f>
        <v>OK</v>
      </c>
    </row>
    <row r="4" spans="1:4" x14ac:dyDescent="0.25">
      <c r="A4" t="s">
        <v>667</v>
      </c>
      <c r="B4">
        <f>COUNTIF(Usuarios!$B$2:$B$37,"Clínico")</f>
        <v>5</v>
      </c>
      <c r="C4">
        <v>5</v>
      </c>
      <c r="D4" t="str">
        <f>IF(B4&gt;=C4,"OK","REVISAR")</f>
        <v>OK</v>
      </c>
    </row>
    <row r="5" spans="1:4" x14ac:dyDescent="0.25">
      <c r="A5" t="s">
        <v>668</v>
      </c>
      <c r="B5">
        <f>COUNTIF(Usuarios!$B$2:$B$37,"Observador")</f>
        <v>5</v>
      </c>
      <c r="C5">
        <v>5</v>
      </c>
      <c r="D5" t="str">
        <f>IF(B5&gt;=C5,"OK","REVISAR")</f>
        <v>OK</v>
      </c>
    </row>
    <row r="6" spans="1:4" x14ac:dyDescent="0.25">
      <c r="A6" t="s">
        <v>669</v>
      </c>
      <c r="B6">
        <f>COUNTIF(Usuarios!$B$2:$B$37,"Paciente")</f>
        <v>20</v>
      </c>
      <c r="C6">
        <v>15</v>
      </c>
      <c r="D6" t="str">
        <f>IF(B6&gt;=C6,"OK","REVISAR")</f>
        <v>OK</v>
      </c>
    </row>
    <row r="7" spans="1:4" x14ac:dyDescent="0.25">
      <c r="A7" t="s">
        <v>670</v>
      </c>
      <c r="B7">
        <f>SUMPRODUCT((Pacientes!$AS$2:$AS$21&lt;&gt;"")/COUNTIF(Pacientes!$AS$2:$AS$21,Pacientes!$AS$2:$AS$21&amp;""))</f>
        <v>15</v>
      </c>
      <c r="C7">
        <v>15</v>
      </c>
      <c r="D7" t="str">
        <f>IF(ROUND(B7,6)=C7,"OK","REVISAR")</f>
        <v>OK</v>
      </c>
    </row>
    <row r="8" spans="1:4" x14ac:dyDescent="0.25">
      <c r="A8" t="s">
        <v>671</v>
      </c>
      <c r="B8">
        <f>SUMPRODUCT(--(COUNTIF(Territorios!$A$2:$A$6,Pacientes!$N$2:$N$21)=0))</f>
        <v>0</v>
      </c>
      <c r="C8">
        <v>0</v>
      </c>
      <c r="D8" t="str">
        <f>IF(ROUND(B8,6)=C8,"OK","REVISAR")</f>
        <v>OK</v>
      </c>
    </row>
    <row r="9" spans="1:4" x14ac:dyDescent="0.25">
      <c r="A9" t="s">
        <v>672</v>
      </c>
      <c r="B9">
        <f>COUNTIF(Pacientes!$AU$2:$AU$21,"REVISAR")</f>
        <v>0</v>
      </c>
      <c r="C9">
        <v>0</v>
      </c>
      <c r="D9" t="str">
        <f>IF(ROUND(B9,6)=C9,"OK","REVISAR")</f>
        <v>OK</v>
      </c>
    </row>
    <row r="10" spans="1:4" x14ac:dyDescent="0.25">
      <c r="A10" t="s">
        <v>673</v>
      </c>
      <c r="B10">
        <f>COUNTIF(Pacientes!$AV$2:$AV$21,"REVISAR")</f>
        <v>0</v>
      </c>
      <c r="C10">
        <v>0</v>
      </c>
      <c r="D10" t="str">
        <f>IF(ROUND(B10,6)=C10,"OK","REVISAR")</f>
        <v>OK</v>
      </c>
    </row>
    <row r="11" spans="1:4" x14ac:dyDescent="0.25">
      <c r="A11" t="s">
        <v>674</v>
      </c>
      <c r="B11">
        <f>COUNTIF(Pacientes!$AW$2:$AW$21,"REVISAR")</f>
        <v>0</v>
      </c>
      <c r="C11">
        <v>0</v>
      </c>
      <c r="D11" t="str">
        <f>IF(ROUND(B11,6)=C11,"OK","REVISAR")</f>
        <v>OK</v>
      </c>
    </row>
    <row r="12" spans="1:4" x14ac:dyDescent="0.25">
      <c r="A12" t="s">
        <v>675</v>
      </c>
      <c r="B12">
        <f>COUNTIF(Pacientes!$AX$2:$AX$21,"REVISAR")</f>
        <v>0</v>
      </c>
      <c r="C12">
        <v>0</v>
      </c>
      <c r="D12" t="str">
        <f>IF(ROUND(B12,6)=C12,"OK","REVISAR")</f>
        <v>OK</v>
      </c>
    </row>
    <row r="13" spans="1:4" x14ac:dyDescent="0.25">
      <c r="A13" t="s">
        <v>676</v>
      </c>
      <c r="B13">
        <f>COUNTIF(Pacientes!$AY$2:$AY$21,"REVISAR")</f>
        <v>0</v>
      </c>
      <c r="C13">
        <v>0</v>
      </c>
      <c r="D13" t="str">
        <f>IF(ROUND(B13,6)=C13,"OK","REVISAR")</f>
        <v>OK</v>
      </c>
    </row>
    <row r="14" spans="1:4" x14ac:dyDescent="0.25">
      <c r="A14" t="s">
        <v>677</v>
      </c>
      <c r="B14">
        <f>COUNTIF(Flujo!$AJ$2:$AJ$21,"REVISAR")</f>
        <v>0</v>
      </c>
      <c r="C14">
        <v>0</v>
      </c>
      <c r="D14" t="str">
        <f>IF(ROUND(B14,6)=C14,"OK","REVISAR")</f>
        <v>OK</v>
      </c>
    </row>
    <row r="15" spans="1:4" x14ac:dyDescent="0.25">
      <c r="A15" t="s">
        <v>678</v>
      </c>
      <c r="B15">
        <f>COUNTIF(Flujo!$AK$2:$AK$21,"REVISAR")</f>
        <v>0</v>
      </c>
      <c r="C15">
        <v>0</v>
      </c>
      <c r="D15" t="str">
        <f>IF(ROUND(B15,6)=C15,"OK","REVISAR")</f>
        <v>OK</v>
      </c>
    </row>
    <row r="16" spans="1:4" x14ac:dyDescent="0.25">
      <c r="A16" t="s">
        <v>679</v>
      </c>
      <c r="B16">
        <f>COUNTIF(Flujo!$AL$2:$AL$21,"REVISAR")</f>
        <v>0</v>
      </c>
      <c r="C16">
        <v>0</v>
      </c>
      <c r="D16" t="str">
        <f>IF(ROUND(B16,6)=C16,"OK","REVISAR")</f>
        <v>OK</v>
      </c>
    </row>
    <row r="17" spans="1:4" x14ac:dyDescent="0.25">
      <c r="A17" t="s">
        <v>680</v>
      </c>
      <c r="B17">
        <f>COUNTIF(Flujo!$AM$2:$AM$21,"REVISAR")</f>
        <v>0</v>
      </c>
      <c r="C17">
        <v>0</v>
      </c>
      <c r="D17" t="str">
        <f>IF(ROUND(B17,6)=C17,"OK","REVISAR")</f>
        <v>OK</v>
      </c>
    </row>
    <row r="18" spans="1:4" x14ac:dyDescent="0.25">
      <c r="A18" t="s">
        <v>681</v>
      </c>
      <c r="B18">
        <f>COUNTIF(Flujo!$AN$2:$AN$21,"REVISAR")</f>
        <v>0</v>
      </c>
      <c r="C18">
        <v>0</v>
      </c>
      <c r="D18" t="str">
        <f>IF(ROUND(B18,6)=C18,"OK","REVISAR")</f>
        <v>OK</v>
      </c>
    </row>
    <row r="19" spans="1:4" x14ac:dyDescent="0.25">
      <c r="A19" t="s">
        <v>682</v>
      </c>
      <c r="B19">
        <f>COUNTIF(Asignaciones!$K$2:$M$6,"REVISAR")</f>
        <v>0</v>
      </c>
      <c r="C19">
        <v>0</v>
      </c>
      <c r="D19" t="str">
        <f>IF(ROUND(B19,6)=C19,"OK","REVISAR")</f>
        <v>OK</v>
      </c>
    </row>
    <row r="20" spans="1:4" x14ac:dyDescent="0.25">
      <c r="A20" t="s">
        <v>683</v>
      </c>
      <c r="B20">
        <f>COUNTIF(Asignaciones!$N$2:$O$6,"REVISAR")</f>
        <v>0</v>
      </c>
      <c r="C20">
        <v>0</v>
      </c>
      <c r="D20" t="str">
        <f>IF(ROUND(B20,6)=C20,"OK","REVISAR")</f>
        <v>OK</v>
      </c>
    </row>
    <row r="21" spans="1:4" x14ac:dyDescent="0.25">
      <c r="A21" t="s">
        <v>684</v>
      </c>
      <c r="B21">
        <f>SUMPRODUCT(--(COUNTIF(Usuarios!$D$2:$D$37,Usuarios!$D$2:$D$37)&gt;1))</f>
        <v>0</v>
      </c>
      <c r="C21">
        <v>0</v>
      </c>
      <c r="D21" t="str">
        <f>IF(ROUND(B21,6)=C21,"OK","REVISAR")</f>
        <v>OK</v>
      </c>
    </row>
    <row r="22" spans="1:4" x14ac:dyDescent="0.25">
      <c r="A22" t="s">
        <v>685</v>
      </c>
      <c r="B22">
        <f>SUMPRODUCT(--(COUNTIF(Usuarios!$A$2:$A$37,Usuarios!$A$2:$A$37)&gt;1))</f>
        <v>0</v>
      </c>
      <c r="C22">
        <v>0</v>
      </c>
      <c r="D22" t="str">
        <f>IF(ROUND(B22,6)=C22,"OK","REVISAR")</f>
        <v>OK</v>
      </c>
    </row>
    <row r="23" spans="1:4" x14ac:dyDescent="0.25">
      <c r="A23" t="s">
        <v>686</v>
      </c>
      <c r="B23">
        <f>SUMPRODUCT(1/COUNTIF(Flujo!$E$2:$E$21,Flujo!$E$2:$E$21))</f>
        <v>7</v>
      </c>
      <c r="C23">
        <v>7</v>
      </c>
      <c r="D23" t="str">
        <f>IF(ROUND(B23,6)=C23,"OK","REVISAR")</f>
        <v>OK</v>
      </c>
    </row>
    <row r="25" spans="1:1" x14ac:dyDescent="0.25">
      <c r="A25" s="36" t="s">
        <v>687</v>
      </c>
    </row>
  </sheetData>
  <conditionalFormatting sqref="D2:D23">
    <cfRule type="containsText" dxfId="6" priority="1">
      <formula>NOT(ISERROR(SEARCH("REVISAR",D2)))</formula>
    </cfRule>
    <cfRule type="containsText" dxfId="7" priority="2">
      <formula>NOT(ISERROR(SEARCH("OK",D2)))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8" customWidth="1"/>
    <col min="3" max="3" width="34" customWidth="1"/>
    <col min="4" max="4" width="60" style="2" customWidth="1"/>
  </cols>
  <sheetData>
    <row r="1" ht="32" customHeight="1" spans="1:4" x14ac:dyDescent="0.25">
      <c r="A1" s="5" t="s">
        <v>688</v>
      </c>
      <c r="B1" s="5" t="s">
        <v>689</v>
      </c>
      <c r="C1" s="5" t="s">
        <v>690</v>
      </c>
      <c r="D1" s="6" t="s">
        <v>251</v>
      </c>
    </row>
    <row r="2" spans="1:4" x14ac:dyDescent="0.25">
      <c r="A2" t="s">
        <v>691</v>
      </c>
      <c r="B2" t="s">
        <v>692</v>
      </c>
      <c r="C2" t="s">
        <v>693</v>
      </c>
      <c r="D2" s="2" t="s">
        <v>694</v>
      </c>
    </row>
    <row r="3" spans="1:4" x14ac:dyDescent="0.25">
      <c r="A3" t="s">
        <v>695</v>
      </c>
      <c r="B3" t="s">
        <v>696</v>
      </c>
      <c r="C3" t="s">
        <v>697</v>
      </c>
      <c r="D3" s="2" t="s">
        <v>698</v>
      </c>
    </row>
    <row r="4" spans="1:4" x14ac:dyDescent="0.25">
      <c r="A4" t="s">
        <v>699</v>
      </c>
      <c r="B4" t="s">
        <v>700</v>
      </c>
      <c r="C4" t="s">
        <v>701</v>
      </c>
      <c r="D4" s="2" t="s">
        <v>702</v>
      </c>
    </row>
    <row r="5" spans="1:4" x14ac:dyDescent="0.25">
      <c r="A5" t="s">
        <v>703</v>
      </c>
      <c r="B5" t="s">
        <v>696</v>
      </c>
      <c r="C5" t="s">
        <v>704</v>
      </c>
      <c r="D5" s="2" t="s">
        <v>705</v>
      </c>
    </row>
    <row r="6" spans="1:4" x14ac:dyDescent="0.25">
      <c r="A6" t="s">
        <v>706</v>
      </c>
      <c r="B6" t="s">
        <v>696</v>
      </c>
      <c r="C6" t="s">
        <v>707</v>
      </c>
      <c r="D6" s="2" t="s">
        <v>708</v>
      </c>
    </row>
    <row r="7" spans="1:4" x14ac:dyDescent="0.25">
      <c r="A7" t="s">
        <v>709</v>
      </c>
      <c r="B7" t="s">
        <v>696</v>
      </c>
      <c r="C7" t="s">
        <v>710</v>
      </c>
      <c r="D7" s="2" t="s">
        <v>711</v>
      </c>
    </row>
    <row r="8" spans="1:4" x14ac:dyDescent="0.25">
      <c r="A8" t="s">
        <v>712</v>
      </c>
      <c r="B8" t="s">
        <v>713</v>
      </c>
      <c r="C8" t="s">
        <v>714</v>
      </c>
      <c r="D8" s="2" t="s">
        <v>715</v>
      </c>
    </row>
    <row r="9" spans="1:4" x14ac:dyDescent="0.25">
      <c r="A9" t="s">
        <v>716</v>
      </c>
      <c r="B9" t="s">
        <v>717</v>
      </c>
      <c r="C9" t="s">
        <v>718</v>
      </c>
      <c r="D9" s="2" t="s">
        <v>719</v>
      </c>
    </row>
    <row r="10" spans="1:4" x14ac:dyDescent="0.25">
      <c r="A10" t="s">
        <v>720</v>
      </c>
      <c r="B10" t="s">
        <v>721</v>
      </c>
      <c r="C10" t="s">
        <v>722</v>
      </c>
      <c r="D10" s="2" t="s">
        <v>723</v>
      </c>
    </row>
    <row r="11" spans="1:4" x14ac:dyDescent="0.25">
      <c r="A11" t="s">
        <v>724</v>
      </c>
      <c r="B11" t="s">
        <v>713</v>
      </c>
      <c r="C11" t="s">
        <v>725</v>
      </c>
      <c r="D11" s="2" t="s">
        <v>726</v>
      </c>
    </row>
    <row r="12" spans="1:4" x14ac:dyDescent="0.25">
      <c r="A12" t="s">
        <v>727</v>
      </c>
      <c r="B12" t="s">
        <v>728</v>
      </c>
      <c r="C12" t="s">
        <v>729</v>
      </c>
      <c r="D12" s="2" t="s">
        <v>730</v>
      </c>
    </row>
    <row r="13" spans="1:4" x14ac:dyDescent="0.25">
      <c r="A13" t="s">
        <v>731</v>
      </c>
      <c r="B13" t="s">
        <v>732</v>
      </c>
      <c r="C13" t="s">
        <v>733</v>
      </c>
      <c r="D13" s="2" t="s">
        <v>734</v>
      </c>
    </row>
    <row r="14" spans="1:4" x14ac:dyDescent="0.25">
      <c r="A14" t="s">
        <v>735</v>
      </c>
      <c r="B14" t="s">
        <v>736</v>
      </c>
      <c r="C14" t="s">
        <v>737</v>
      </c>
      <c r="D14" s="2" t="s">
        <v>738</v>
      </c>
    </row>
    <row r="15" spans="1:4" x14ac:dyDescent="0.25">
      <c r="A15" t="s">
        <v>739</v>
      </c>
      <c r="B15" t="s">
        <v>728</v>
      </c>
      <c r="C15" t="s">
        <v>740</v>
      </c>
      <c r="D15" s="2" t="s">
        <v>741</v>
      </c>
    </row>
    <row r="16" spans="1:4" x14ac:dyDescent="0.25">
      <c r="A16" t="s">
        <v>742</v>
      </c>
      <c r="B16" t="s">
        <v>743</v>
      </c>
      <c r="C16" t="s">
        <v>744</v>
      </c>
      <c r="D16" s="2" t="s">
        <v>745</v>
      </c>
    </row>
    <row r="17" spans="1:4" x14ac:dyDescent="0.25">
      <c r="A17" t="s">
        <v>746</v>
      </c>
      <c r="B17" t="s">
        <v>747</v>
      </c>
      <c r="C17" t="s">
        <v>748</v>
      </c>
      <c r="D17" s="2" t="s">
        <v>3</v>
      </c>
    </row>
    <row r="18" spans="1:4" x14ac:dyDescent="0.25">
      <c r="A18" t="s">
        <v>749</v>
      </c>
      <c r="B18" t="s">
        <v>750</v>
      </c>
      <c r="C18" t="s">
        <v>751</v>
      </c>
      <c r="D18" s="2" t="s">
        <v>752</v>
      </c>
    </row>
    <row r="19" spans="1:4" x14ac:dyDescent="0.25">
      <c r="A19" t="s">
        <v>753</v>
      </c>
      <c r="B19" t="s">
        <v>754</v>
      </c>
      <c r="C19" t="s">
        <v>755</v>
      </c>
      <c r="D19" s="2" t="s">
        <v>3</v>
      </c>
    </row>
    <row r="20" spans="1:4" x14ac:dyDescent="0.25">
      <c r="A20" t="s">
        <v>756</v>
      </c>
      <c r="B20" t="s">
        <v>728</v>
      </c>
      <c r="C20" t="s">
        <v>757</v>
      </c>
      <c r="D20" s="2" t="s">
        <v>3</v>
      </c>
    </row>
    <row r="21" spans="1:4" x14ac:dyDescent="0.25">
      <c r="A21" t="s">
        <v>758</v>
      </c>
      <c r="B21" t="s">
        <v>759</v>
      </c>
      <c r="C21" t="s">
        <v>760</v>
      </c>
      <c r="D21" s="2" t="s">
        <v>761</v>
      </c>
    </row>
    <row r="22" spans="1:4" x14ac:dyDescent="0.25">
      <c r="A22" t="s">
        <v>762</v>
      </c>
      <c r="B22" t="s">
        <v>763</v>
      </c>
      <c r="C22" t="s">
        <v>764</v>
      </c>
      <c r="D22" s="2" t="s">
        <v>765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Léame</vt:lpstr>
      <vt:lpstr>Matriz</vt:lpstr>
      <vt:lpstr>Reglas</vt:lpstr>
      <vt:lpstr>Territorios</vt:lpstr>
      <vt:lpstr>Usuarios</vt:lpstr>
      <vt:lpstr>Pacientes</vt:lpstr>
      <vt:lpstr>Flujo</vt:lpstr>
      <vt:lpstr>Rutas</vt:lpstr>
      <vt:lpstr>Cambios de ruta</vt:lpstr>
      <vt:lpstr>Activos</vt:lpstr>
      <vt:lpstr>Asignaciones</vt:lpstr>
      <vt:lpstr>Validación</vt:lpstr>
      <vt:lpstr>Mapeo Mongo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Polaria · Daniel Galvis</dc:creator>
  <dc:title/>
  <dc:subject/>
  <dc:description/>
  <cp:keywords/>
  <cp:category/>
  <cp:lastModifiedBy>Unknown</cp:lastModifiedBy>
  <dcterms:created xsi:type="dcterms:W3CDTF">2026-10-08T21:02:33Z</dcterms:created>
  <dcterms:modified xsi:type="dcterms:W3CDTF">2026-10-08T21:02:33Z</dcterms:modified>
</cp:coreProperties>
</file>